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07\各大樓\G16\01-行政管理\5.承租戶資料\"/>
    </mc:Choice>
  </mc:AlternateContent>
  <xr:revisionPtr revIDLastSave="0" documentId="13_ncr:1_{B13579BE-7D2E-422F-8247-EEBA8DB99BDD}" xr6:coauthVersionLast="47" xr6:coauthVersionMax="47" xr10:uidLastSave="{00000000-0000-0000-0000-000000000000}"/>
  <bookViews>
    <workbookView xWindow="-120" yWindow="-120" windowWidth="29040" windowHeight="15840" tabRatio="558" activeTab="4" xr2:uid="{00000000-000D-0000-FFFF-FFFF00000000}"/>
  </bookViews>
  <sheets>
    <sheet name="點交時間表" sheetId="1" r:id="rId1"/>
    <sheet name="113" sheetId="9" r:id="rId2"/>
    <sheet name="商戶樓層明細" sheetId="6" r:id="rId3"/>
    <sheet name="商戶緊急聯絡電話" sheetId="4" r:id="rId4"/>
    <sheet name="產業人數表" sheetId="2" r:id="rId5"/>
    <sheet name="商戶戶MAIL" sheetId="5" r:id="rId6"/>
    <sheet name="簽收表" sheetId="7" r:id="rId7"/>
  </sheets>
  <definedNames>
    <definedName name="_xlnm._FilterDatabase" localSheetId="5" hidden="1">商戶戶MAIL!$A$2:$D$63</definedName>
    <definedName name="_xlnm.Print_Area" localSheetId="1">'113'!$A$1:$N$53</definedName>
    <definedName name="_xlnm.Print_Area" localSheetId="3">商戶緊急聯絡電話!$A$1:$I$54</definedName>
    <definedName name="_xlnm.Print_Area" localSheetId="4">產業人數表!$A$1:$F$44</definedName>
    <definedName name="_xlnm.Print_Area" localSheetId="0">點交時間表!$A$1:$N$53</definedName>
    <definedName name="_xlnm.Print_Area" localSheetId="6">簽收表!$A$1:$C$39</definedName>
    <definedName name="_xlnm.Print_Titles" localSheetId="3">商戶緊急聯絡電話!$5:$5</definedName>
    <definedName name="_xlnm.Print_Titles" localSheetId="6">簽收表!$1:$2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9" i="6" l="1"/>
  <c r="D62" i="6"/>
  <c r="I1" i="9"/>
  <c r="I4" i="4"/>
  <c r="E44" i="2"/>
  <c r="K62" i="6"/>
  <c r="C62" i="6"/>
  <c r="E59" i="6"/>
  <c r="L55" i="6"/>
  <c r="L52" i="6"/>
  <c r="L49" i="6"/>
  <c r="L46" i="6"/>
  <c r="L43" i="6"/>
  <c r="L40" i="6"/>
  <c r="L37" i="6"/>
  <c r="L34" i="6"/>
  <c r="L31" i="6"/>
  <c r="L28" i="6"/>
  <c r="L25" i="6"/>
  <c r="L22" i="6"/>
  <c r="L19" i="6"/>
  <c r="C17" i="6"/>
  <c r="L16" i="6"/>
  <c r="L13" i="6"/>
  <c r="L10" i="6"/>
  <c r="L7" i="6"/>
  <c r="L4" i="6"/>
  <c r="L61" i="6"/>
  <c r="L58" i="6" l="1"/>
  <c r="L64" i="6"/>
  <c r="L6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原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細明體"/>
            <family val="3"/>
            <charset val="136"/>
          </rPr>
          <t>蔡棠華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細明體"/>
            <family val="3"/>
            <charset val="136"/>
          </rPr>
          <t>生產留職停薪</t>
        </r>
        <r>
          <rPr>
            <b/>
            <sz val="9"/>
            <color indexed="81"/>
            <rFont val="Tahoma"/>
            <family val="2"/>
          </rPr>
          <t>)
0921-986-371</t>
        </r>
      </text>
    </comment>
    <comment ref="E28" authorId="0" shapeId="0" xr:uid="{947E5D85-459E-4D8F-97D9-5449A34C3A52}">
      <text>
        <r>
          <rPr>
            <b/>
            <sz val="14"/>
            <color indexed="81"/>
            <rFont val="細明體"/>
            <family val="3"/>
            <charset val="136"/>
          </rPr>
          <t>原</t>
        </r>
        <r>
          <rPr>
            <b/>
            <sz val="14"/>
            <color indexed="81"/>
            <rFont val="Tahoma"/>
            <family val="2"/>
          </rPr>
          <t>:</t>
        </r>
        <r>
          <rPr>
            <b/>
            <sz val="14"/>
            <color indexed="81"/>
            <rFont val="細明體"/>
            <family val="3"/>
            <charset val="136"/>
          </rPr>
          <t>銳競廣告行銷有限公司
於</t>
        </r>
        <r>
          <rPr>
            <b/>
            <sz val="14"/>
            <color indexed="81"/>
            <rFont val="Tahoma"/>
            <family val="2"/>
          </rPr>
          <t>112/11/15</t>
        </r>
        <r>
          <rPr>
            <b/>
            <sz val="14"/>
            <color indexed="81"/>
            <rFont val="細明體"/>
            <family val="3"/>
            <charset val="136"/>
          </rPr>
          <t>更名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29" authorId="0" shapeId="0" xr:uid="{5FBB4F5F-4D8A-4037-A453-CCA54F5251AF}">
      <text>
        <r>
          <rPr>
            <sz val="14"/>
            <color indexed="81"/>
            <rFont val="微軟正黑體"/>
            <family val="2"/>
            <charset val="136"/>
          </rPr>
          <t>室話會轉手機</t>
        </r>
      </text>
    </comment>
  </commentList>
</comments>
</file>

<file path=xl/sharedStrings.xml><?xml version="1.0" encoding="utf-8"?>
<sst xmlns="http://schemas.openxmlformats.org/spreadsheetml/2006/main" count="2007" uniqueCount="1211">
  <si>
    <t>A2</t>
    <phoneticPr fontId="5" type="noConversion"/>
  </si>
  <si>
    <t>A1</t>
    <phoneticPr fontId="5" type="noConversion"/>
  </si>
  <si>
    <t>A3</t>
    <phoneticPr fontId="5" type="noConversion"/>
  </si>
  <si>
    <t>A3</t>
  </si>
  <si>
    <t>A2</t>
  </si>
  <si>
    <t>A1</t>
  </si>
  <si>
    <t>16F</t>
    <phoneticPr fontId="5" type="noConversion"/>
  </si>
  <si>
    <t>A3-1</t>
    <phoneticPr fontId="5" type="noConversion"/>
  </si>
  <si>
    <t>雷格斯企業</t>
    <phoneticPr fontId="5" type="noConversion"/>
  </si>
  <si>
    <t>A6</t>
    <phoneticPr fontId="5" type="noConversion"/>
  </si>
  <si>
    <t>A5</t>
    <phoneticPr fontId="5" type="noConversion"/>
  </si>
  <si>
    <t>A4</t>
    <phoneticPr fontId="5" type="noConversion"/>
  </si>
  <si>
    <t>A6-1</t>
    <phoneticPr fontId="5" type="noConversion"/>
  </si>
  <si>
    <t>東芝電子零組件</t>
    <phoneticPr fontId="5" type="noConversion"/>
  </si>
  <si>
    <t>A6</t>
  </si>
  <si>
    <t>A5</t>
  </si>
  <si>
    <t>A4</t>
  </si>
  <si>
    <t>A6-1</t>
  </si>
  <si>
    <t>3F A6-1</t>
    <phoneticPr fontId="8" type="noConversion"/>
  </si>
  <si>
    <t>科技</t>
    <phoneticPr fontId="5" type="noConversion"/>
  </si>
  <si>
    <t>3FA3&amp;4F</t>
    <phoneticPr fontId="2" type="noConversion"/>
  </si>
  <si>
    <t>網路科技</t>
    <phoneticPr fontId="5" type="noConversion"/>
  </si>
  <si>
    <t>美商虹軟(股)公司</t>
    <phoneticPr fontId="5" type="noConversion"/>
  </si>
  <si>
    <t>香港商奧東有限公司台灣分公司</t>
    <phoneticPr fontId="5" type="noConversion"/>
  </si>
  <si>
    <t>客戶名稱</t>
  </si>
  <si>
    <t>樓層</t>
  </si>
  <si>
    <t>產業</t>
  </si>
  <si>
    <t>日商丹下都市建築設計股份有限公司台北辦事處</t>
    <phoneticPr fontId="5" type="noConversion"/>
  </si>
  <si>
    <t>台灣東芝電子零組件(股)公司</t>
    <phoneticPr fontId="5" type="noConversion"/>
  </si>
  <si>
    <t>掌中乾坤網路科技(股)公司</t>
    <phoneticPr fontId="5" type="noConversion"/>
  </si>
  <si>
    <t>艾巨科技(股)公司</t>
    <phoneticPr fontId="5" type="noConversion"/>
  </si>
  <si>
    <t>幻想娛樂科技(股)公司</t>
    <phoneticPr fontId="5" type="noConversion"/>
  </si>
  <si>
    <t>台灣基恩斯(股)公司</t>
    <phoneticPr fontId="5" type="noConversion"/>
  </si>
  <si>
    <t>臺北市都市更新處</t>
    <phoneticPr fontId="5" type="noConversion"/>
  </si>
  <si>
    <t>臺北市政府都市發展局</t>
    <phoneticPr fontId="5" type="noConversion"/>
  </si>
  <si>
    <t>總人數 :</t>
    <phoneticPr fontId="5" type="noConversion"/>
  </si>
  <si>
    <t xml:space="preserve">地址 : 台北市中 山區南京東路3段166、168、170號       </t>
    <phoneticPr fontId="5" type="noConversion"/>
  </si>
  <si>
    <t>樓層</t>
    <phoneticPr fontId="5" type="noConversion"/>
  </si>
  <si>
    <t>166號</t>
    <phoneticPr fontId="5" type="noConversion"/>
  </si>
  <si>
    <t>168號</t>
    <phoneticPr fontId="5" type="noConversion"/>
  </si>
  <si>
    <t>168號-1</t>
    <phoneticPr fontId="5" type="noConversion"/>
  </si>
  <si>
    <t>168號-2</t>
    <phoneticPr fontId="5" type="noConversion"/>
  </si>
  <si>
    <t>168號-3</t>
    <phoneticPr fontId="5" type="noConversion"/>
  </si>
  <si>
    <t>168號-5</t>
    <phoneticPr fontId="5" type="noConversion"/>
  </si>
  <si>
    <t>168號-6</t>
    <phoneticPr fontId="5" type="noConversion"/>
  </si>
  <si>
    <t>168號A3-1</t>
    <phoneticPr fontId="5" type="noConversion"/>
  </si>
  <si>
    <t>170號</t>
    <phoneticPr fontId="5" type="noConversion"/>
  </si>
  <si>
    <t>更新處</t>
    <phoneticPr fontId="5" type="noConversion"/>
  </si>
  <si>
    <t>管委會辦公室</t>
    <phoneticPr fontId="5" type="noConversion"/>
  </si>
  <si>
    <t>新工處</t>
    <phoneticPr fontId="5" type="noConversion"/>
  </si>
  <si>
    <t>地址 : 台北市南京東路3段166、168、170號</t>
    <phoneticPr fontId="5" type="noConversion"/>
  </si>
  <si>
    <t>台北市政府工務局使用執照103使字0203號</t>
    <phoneticPr fontId="5" type="noConversion"/>
  </si>
  <si>
    <t>地號 : 中山區長安段一小段210-0地號</t>
    <phoneticPr fontId="5" type="noConversion"/>
  </si>
  <si>
    <t>使用執照領照日期 : 103.08.26</t>
    <phoneticPr fontId="5" type="noConversion"/>
  </si>
  <si>
    <t>使用分區 : 聯合開發區(捷)</t>
    <phoneticPr fontId="5" type="noConversion"/>
  </si>
  <si>
    <t>統一編號 : 42306427</t>
    <phoneticPr fontId="5" type="noConversion"/>
  </si>
  <si>
    <t>層棟戶數 : 20F/B4F   108戶</t>
    <phoneticPr fontId="5" type="noConversion"/>
  </si>
  <si>
    <t>捷運局+都更處</t>
    <phoneticPr fontId="5" type="noConversion"/>
  </si>
  <si>
    <t>產權</t>
    <phoneticPr fontId="2" type="noConversion"/>
  </si>
  <si>
    <t>宏盛</t>
    <phoneticPr fontId="2" type="noConversion"/>
  </si>
  <si>
    <t>宏壽</t>
    <phoneticPr fontId="2" type="noConversion"/>
  </si>
  <si>
    <t>宏盛
宏壽</t>
    <phoneticPr fontId="2" type="noConversion"/>
  </si>
  <si>
    <t>20F</t>
    <phoneticPr fontId="5" type="noConversion"/>
  </si>
  <si>
    <t>19F</t>
    <phoneticPr fontId="5" type="noConversion"/>
  </si>
  <si>
    <t>18F</t>
    <phoneticPr fontId="5" type="noConversion"/>
  </si>
  <si>
    <t>17F</t>
    <phoneticPr fontId="5" type="noConversion"/>
  </si>
  <si>
    <t>15F</t>
    <phoneticPr fontId="5" type="noConversion"/>
  </si>
  <si>
    <t>14F</t>
    <phoneticPr fontId="5" type="noConversion"/>
  </si>
  <si>
    <t>13F</t>
    <phoneticPr fontId="5" type="noConversion"/>
  </si>
  <si>
    <t>12F</t>
    <phoneticPr fontId="5" type="noConversion"/>
  </si>
  <si>
    <t>11F</t>
    <phoneticPr fontId="5" type="noConversion"/>
  </si>
  <si>
    <t>10F</t>
    <phoneticPr fontId="5" type="noConversion"/>
  </si>
  <si>
    <t>9F</t>
    <phoneticPr fontId="5" type="noConversion"/>
  </si>
  <si>
    <t>8F</t>
    <phoneticPr fontId="5" type="noConversion"/>
  </si>
  <si>
    <t>7F</t>
    <phoneticPr fontId="5" type="noConversion"/>
  </si>
  <si>
    <t>6F</t>
    <phoneticPr fontId="5" type="noConversion"/>
  </si>
  <si>
    <t>5F</t>
    <phoneticPr fontId="5" type="noConversion"/>
  </si>
  <si>
    <t>4F</t>
    <phoneticPr fontId="5" type="noConversion"/>
  </si>
  <si>
    <t>3F</t>
    <phoneticPr fontId="5" type="noConversion"/>
  </si>
  <si>
    <t>2F</t>
    <phoneticPr fontId="5" type="noConversion"/>
  </si>
  <si>
    <t>1F</t>
    <phoneticPr fontId="5" type="noConversion"/>
  </si>
  <si>
    <t>捷運局</t>
    <phoneticPr fontId="2" type="noConversion"/>
  </si>
  <si>
    <t>宏壽
A1-宏盛+宏壽</t>
    <phoneticPr fontId="2" type="noConversion"/>
  </si>
  <si>
    <t>B1F</t>
    <phoneticPr fontId="5" type="noConversion"/>
  </si>
  <si>
    <t>B2F</t>
    <phoneticPr fontId="5" type="noConversion"/>
  </si>
  <si>
    <t>B3F</t>
    <phoneticPr fontId="5" type="noConversion"/>
  </si>
  <si>
    <t>B4F</t>
    <phoneticPr fontId="5" type="noConversion"/>
  </si>
  <si>
    <t>總計</t>
    <phoneticPr fontId="2" type="noConversion"/>
  </si>
  <si>
    <t>合計</t>
    <phoneticPr fontId="2" type="noConversion"/>
  </si>
  <si>
    <t>小計(坪)</t>
    <phoneticPr fontId="2" type="noConversion"/>
  </si>
  <si>
    <t>基地面積 : 2952.89m² (約893.24坪)</t>
    <phoneticPr fontId="5" type="noConversion"/>
  </si>
  <si>
    <t>宏盛建設65車位
宏泰人壽41車位
捷運局6車位
都更處2車位</t>
    <phoneticPr fontId="2" type="noConversion"/>
  </si>
  <si>
    <r>
      <rPr>
        <sz val="11"/>
        <color theme="1"/>
        <rFont val="微軟正黑體"/>
        <family val="2"/>
        <charset val="136"/>
      </rPr>
      <t>樓層</t>
    </r>
  </si>
  <si>
    <r>
      <rPr>
        <sz val="11"/>
        <color theme="1"/>
        <rFont val="微軟正黑體"/>
        <family val="2"/>
        <charset val="136"/>
      </rPr>
      <t>戶別</t>
    </r>
  </si>
  <si>
    <r>
      <rPr>
        <sz val="11"/>
        <color theme="1"/>
        <rFont val="微軟正黑體"/>
        <family val="2"/>
        <charset val="136"/>
      </rPr>
      <t>租戶名稱</t>
    </r>
  </si>
  <si>
    <r>
      <rPr>
        <sz val="11"/>
        <color theme="1"/>
        <rFont val="微軟正黑體"/>
        <family val="2"/>
        <charset val="136"/>
      </rPr>
      <t>第一聯絡人</t>
    </r>
  </si>
  <si>
    <r>
      <rPr>
        <sz val="11"/>
        <color theme="1"/>
        <rFont val="微軟正黑體"/>
        <family val="2"/>
        <charset val="136"/>
      </rPr>
      <t>電話</t>
    </r>
  </si>
  <si>
    <r>
      <rPr>
        <sz val="11"/>
        <color theme="1"/>
        <rFont val="微軟正黑體"/>
        <family val="2"/>
        <charset val="136"/>
      </rPr>
      <t>第二聯絡人</t>
    </r>
  </si>
  <si>
    <r>
      <rPr>
        <sz val="11"/>
        <color theme="1"/>
        <rFont val="微軟正黑體"/>
        <family val="2"/>
        <charset val="136"/>
      </rPr>
      <t>第三聯絡人</t>
    </r>
  </si>
  <si>
    <t>3F</t>
  </si>
  <si>
    <t>黃昭雄</t>
    <phoneticPr fontId="14" type="noConversion"/>
  </si>
  <si>
    <t>A3</t>
    <phoneticPr fontId="2" type="noConversion"/>
  </si>
  <si>
    <t>東芝電子零組件</t>
    <phoneticPr fontId="2" type="noConversion"/>
  </si>
  <si>
    <t>0928-637-027</t>
    <phoneticPr fontId="14" type="noConversion"/>
  </si>
  <si>
    <t>李宜倫</t>
    <phoneticPr fontId="14" type="noConversion"/>
  </si>
  <si>
    <t>0975-016-006</t>
  </si>
  <si>
    <t>4F</t>
  </si>
  <si>
    <t>5F</t>
    <phoneticPr fontId="2" type="noConversion"/>
  </si>
  <si>
    <t>莊宏義</t>
  </si>
  <si>
    <t>0919-288-941</t>
  </si>
  <si>
    <t>A1-A5</t>
    <phoneticPr fontId="14" type="noConversion"/>
  </si>
  <si>
    <t>吳孟娟</t>
  </si>
  <si>
    <t>0912-837-673</t>
  </si>
  <si>
    <t>藍宇菁</t>
  </si>
  <si>
    <t>0917-884-338</t>
  </si>
  <si>
    <t>王靜美</t>
    <phoneticPr fontId="2" type="noConversion"/>
  </si>
  <si>
    <t>0933-885-183</t>
  </si>
  <si>
    <t>黃怡雯</t>
  </si>
  <si>
    <t>0978-085-226</t>
  </si>
  <si>
    <t>A6-1</t>
    <phoneticPr fontId="2" type="noConversion"/>
  </si>
  <si>
    <t>9F</t>
  </si>
  <si>
    <t>A5</t>
    <phoneticPr fontId="2" type="noConversion"/>
  </si>
  <si>
    <t>美商虹軟</t>
    <phoneticPr fontId="2" type="noConversion"/>
  </si>
  <si>
    <t>陳政陽</t>
    <phoneticPr fontId="2" type="noConversion"/>
  </si>
  <si>
    <t>0987-655-837</t>
    <phoneticPr fontId="2" type="noConversion"/>
  </si>
  <si>
    <t>李婷婷</t>
    <phoneticPr fontId="2" type="noConversion"/>
  </si>
  <si>
    <t>0953-103-000</t>
    <phoneticPr fontId="2" type="noConversion"/>
  </si>
  <si>
    <t>16F</t>
  </si>
  <si>
    <t>17F</t>
  </si>
  <si>
    <t>謝明同</t>
  </si>
  <si>
    <t>0933-635-861</t>
    <phoneticPr fontId="2" type="noConversion"/>
  </si>
  <si>
    <t>18F</t>
  </si>
  <si>
    <t>唐玉玫</t>
  </si>
  <si>
    <t>0958-670-485</t>
    <phoneticPr fontId="2" type="noConversion"/>
  </si>
  <si>
    <t>注意 ※  此聯絡表僅提供緊急情況時聯絡使用，屬機密資料，任何情況下皆不得外洩、留存，</t>
    <phoneticPr fontId="14" type="noConversion"/>
  </si>
  <si>
    <t>且中控室人員需於報備下列管理中心人員，取得同意後，才可進行緊急情況之承租戶連絡，謝謝。</t>
    <phoneticPr fontId="14" type="noConversion"/>
  </si>
  <si>
    <t>世雅育樂</t>
    <phoneticPr fontId="2" type="noConversion"/>
  </si>
  <si>
    <t>飛瑞旅行社</t>
    <phoneticPr fontId="5" type="noConversion"/>
  </si>
  <si>
    <t>幻想娛樂</t>
    <phoneticPr fontId="2" type="noConversion"/>
  </si>
  <si>
    <t>旅遊業</t>
    <phoneticPr fontId="2" type="noConversion"/>
  </si>
  <si>
    <t>飛瑞旅行社股份有限公司</t>
    <phoneticPr fontId="5" type="noConversion"/>
  </si>
  <si>
    <t>10F</t>
    <phoneticPr fontId="2" type="noConversion"/>
  </si>
  <si>
    <t>飛瑞旅行社</t>
    <phoneticPr fontId="2" type="noConversion"/>
  </si>
  <si>
    <t>9F A1</t>
    <phoneticPr fontId="2" type="noConversion"/>
  </si>
  <si>
    <t>1FA1&amp;2F&amp;15F</t>
    <phoneticPr fontId="2" type="noConversion"/>
  </si>
  <si>
    <t>A1-A3-1</t>
    <phoneticPr fontId="2" type="noConversion"/>
  </si>
  <si>
    <t>台灣丸紅</t>
    <phoneticPr fontId="2" type="noConversion"/>
  </si>
  <si>
    <t>台灣丸紅股份有限公司</t>
    <phoneticPr fontId="2" type="noConversion"/>
  </si>
  <si>
    <t>0918-956-256</t>
    <phoneticPr fontId="2" type="noConversion"/>
  </si>
  <si>
    <t>泰勒梅</t>
    <phoneticPr fontId="2" type="noConversion"/>
  </si>
  <si>
    <t>藤倉</t>
    <phoneticPr fontId="2" type="noConversion"/>
  </si>
  <si>
    <t>廈門航空</t>
    <phoneticPr fontId="2" type="noConversion"/>
  </si>
  <si>
    <t>世雅育樂股份有限公司</t>
    <phoneticPr fontId="5" type="noConversion"/>
  </si>
  <si>
    <t>11F</t>
    <phoneticPr fontId="2" type="noConversion"/>
  </si>
  <si>
    <t>A1-A4</t>
    <phoneticPr fontId="2" type="noConversion"/>
  </si>
  <si>
    <t>11F A1-A4</t>
    <phoneticPr fontId="8" type="noConversion"/>
  </si>
  <si>
    <t>台灣安士克</t>
    <phoneticPr fontId="2" type="noConversion"/>
  </si>
  <si>
    <t>9F</t>
    <phoneticPr fontId="2" type="noConversion"/>
  </si>
  <si>
    <t>A1</t>
    <phoneticPr fontId="14" type="noConversion"/>
  </si>
  <si>
    <t>航空業</t>
    <phoneticPr fontId="2" type="noConversion"/>
  </si>
  <si>
    <t>10F A5</t>
    <phoneticPr fontId="2" type="noConversion"/>
  </si>
  <si>
    <t>台灣安士克精密股份有限公司</t>
    <phoneticPr fontId="5" type="noConversion"/>
  </si>
  <si>
    <t>0920-759-154</t>
    <phoneticPr fontId="2" type="noConversion"/>
  </si>
  <si>
    <t>蘇盈竹</t>
  </si>
  <si>
    <t>黃怡萍</t>
    <phoneticPr fontId="2" type="noConversion"/>
  </si>
  <si>
    <t>A3-1</t>
    <phoneticPr fontId="2" type="noConversion"/>
  </si>
  <si>
    <t>15F</t>
    <phoneticPr fontId="2" type="noConversion"/>
  </si>
  <si>
    <t>運動用品</t>
    <phoneticPr fontId="2" type="noConversion"/>
  </si>
  <si>
    <t>15F A3-1</t>
    <phoneticPr fontId="5" type="noConversion"/>
  </si>
  <si>
    <t>10F A6</t>
    <phoneticPr fontId="2" type="noConversion"/>
  </si>
  <si>
    <t>10F A6-1</t>
    <phoneticPr fontId="2" type="noConversion"/>
  </si>
  <si>
    <t>掌中乾坤</t>
  </si>
  <si>
    <t>都市更新處</t>
  </si>
  <si>
    <t>都市發展局</t>
  </si>
  <si>
    <t>0955-429-006</t>
    <phoneticPr fontId="2" type="noConversion"/>
  </si>
  <si>
    <t>0935-100-975</t>
    <phoneticPr fontId="2" type="noConversion"/>
  </si>
  <si>
    <t>橋本良一</t>
    <phoneticPr fontId="2" type="noConversion"/>
  </si>
  <si>
    <t>A6</t>
    <phoneticPr fontId="2" type="noConversion"/>
  </si>
  <si>
    <t>0921-949-438</t>
    <phoneticPr fontId="14" type="noConversion"/>
  </si>
  <si>
    <t>楊淳喻</t>
    <phoneticPr fontId="14" type="noConversion"/>
  </si>
  <si>
    <t>金融業</t>
    <phoneticPr fontId="5" type="noConversion"/>
  </si>
  <si>
    <t>亞瑪迪斯</t>
    <phoneticPr fontId="2" type="noConversion"/>
  </si>
  <si>
    <t>全</t>
    <phoneticPr fontId="2" type="noConversion"/>
  </si>
  <si>
    <t>12F</t>
    <phoneticPr fontId="2" type="noConversion"/>
  </si>
  <si>
    <t>台灣泰勒梅高爾夫有限公司</t>
  </si>
  <si>
    <t>陳建旺</t>
    <phoneticPr fontId="2" type="noConversion"/>
  </si>
  <si>
    <t>14F</t>
    <phoneticPr fontId="2" type="noConversion"/>
  </si>
  <si>
    <t>資訊業</t>
    <phoneticPr fontId="5" type="noConversion"/>
  </si>
  <si>
    <t>13F A4-A5</t>
    <phoneticPr fontId="5" type="noConversion"/>
  </si>
  <si>
    <t>台灣亞瑪迪斯(股)公司</t>
    <phoneticPr fontId="5" type="noConversion"/>
  </si>
  <si>
    <t>日商全日空輸(股)公司</t>
    <phoneticPr fontId="5" type="noConversion"/>
  </si>
  <si>
    <t>航空運輸</t>
    <phoneticPr fontId="5" type="noConversion"/>
  </si>
  <si>
    <t>A1-A3</t>
    <phoneticPr fontId="2" type="noConversion"/>
  </si>
  <si>
    <t>全日空</t>
    <phoneticPr fontId="2" type="noConversion"/>
  </si>
  <si>
    <t>13F</t>
    <phoneticPr fontId="2" type="noConversion"/>
  </si>
  <si>
    <t>A4-A5</t>
    <phoneticPr fontId="14" type="noConversion"/>
  </si>
  <si>
    <t>王靜淇</t>
  </si>
  <si>
    <t>0921-045-212</t>
    <phoneticPr fontId="2" type="noConversion"/>
  </si>
  <si>
    <t>0958-604-158</t>
    <phoneticPr fontId="2" type="noConversion"/>
  </si>
  <si>
    <t>王峻貴</t>
    <phoneticPr fontId="14" type="noConversion"/>
  </si>
  <si>
    <t>能源技術服務業</t>
  </si>
  <si>
    <t>風電能源</t>
    <phoneticPr fontId="5" type="noConversion"/>
  </si>
  <si>
    <t>3F A6</t>
    <phoneticPr fontId="8" type="noConversion"/>
  </si>
  <si>
    <t>海龍二號</t>
    <phoneticPr fontId="2" type="noConversion"/>
  </si>
  <si>
    <t>台灣愛麗思歐雅瑪(股)公司</t>
    <phoneticPr fontId="5" type="noConversion"/>
  </si>
  <si>
    <t>批發零售</t>
    <phoneticPr fontId="5" type="noConversion"/>
  </si>
  <si>
    <t>愛麗思歐雅瑪</t>
    <phoneticPr fontId="2" type="noConversion"/>
  </si>
  <si>
    <t>台灣鎧俠</t>
    <phoneticPr fontId="2" type="noConversion"/>
  </si>
  <si>
    <t>台灣鎧俠(股)公司</t>
    <phoneticPr fontId="5" type="noConversion"/>
  </si>
  <si>
    <t>全日空</t>
  </si>
  <si>
    <t>A2</t>
    <phoneticPr fontId="2" type="noConversion"/>
  </si>
  <si>
    <t>台灣威法服務有限公司</t>
    <phoneticPr fontId="5" type="noConversion"/>
  </si>
  <si>
    <t>3FA4~A5</t>
    <phoneticPr fontId="2" type="noConversion"/>
  </si>
  <si>
    <t>0965-095-702</t>
    <phoneticPr fontId="2" type="noConversion"/>
  </si>
  <si>
    <t>A4-A5</t>
    <phoneticPr fontId="2" type="noConversion"/>
  </si>
  <si>
    <t>台灣威法</t>
    <phoneticPr fontId="2" type="noConversion"/>
  </si>
  <si>
    <t>樓層/公司名稱</t>
    <phoneticPr fontId="2" type="noConversion"/>
  </si>
  <si>
    <t>聯絡人</t>
    <phoneticPr fontId="2" type="noConversion"/>
  </si>
  <si>
    <t>信箱</t>
    <phoneticPr fontId="2" type="noConversion"/>
  </si>
  <si>
    <t>10F台灣安士克</t>
    <phoneticPr fontId="2" type="noConversion"/>
  </si>
  <si>
    <t>10F飛瑞</t>
    <phoneticPr fontId="2" type="noConversion"/>
  </si>
  <si>
    <t>10F廈門航空</t>
  </si>
  <si>
    <t>盧彥君</t>
  </si>
  <si>
    <t>luyanjun@xiamenair.com</t>
  </si>
  <si>
    <t>周鵬宇</t>
  </si>
  <si>
    <t>zhoupengyu@xiamenair.com</t>
  </si>
  <si>
    <t>10F藤倉</t>
    <phoneticPr fontId="2" type="noConversion"/>
  </si>
  <si>
    <t>涉谷猛</t>
  </si>
  <si>
    <t>shibuya.takeshi@tw.fujikura.com</t>
  </si>
  <si>
    <t>橋本良一</t>
  </si>
  <si>
    <t>ryoichi.hashimoto@tw.fujikura.com</t>
  </si>
  <si>
    <t>13F丸紅電力</t>
    <phoneticPr fontId="2" type="noConversion"/>
  </si>
  <si>
    <t>吳小姐</t>
    <phoneticPr fontId="2" type="noConversion"/>
  </si>
  <si>
    <t>shaz-wu@marubeni.com</t>
  </si>
  <si>
    <t>13F北陸</t>
    <phoneticPr fontId="2" type="noConversion"/>
  </si>
  <si>
    <t xml:space="preserve">13F亞瑪迪斯 </t>
    <phoneticPr fontId="2" type="noConversion"/>
  </si>
  <si>
    <t>張淑娟</t>
    <phoneticPr fontId="2" type="noConversion"/>
  </si>
  <si>
    <t>vivi.chang@amadeus.com</t>
  </si>
  <si>
    <t>謝秀葉</t>
    <phoneticPr fontId="2" type="noConversion"/>
  </si>
  <si>
    <t>1F雷格斯</t>
  </si>
  <si>
    <t xml:space="preserve">3F丹下設計 </t>
    <phoneticPr fontId="2" type="noConversion"/>
  </si>
  <si>
    <t>3F全日空</t>
    <phoneticPr fontId="2" type="noConversion"/>
  </si>
  <si>
    <t>3F鎧俠</t>
    <phoneticPr fontId="2" type="noConversion"/>
  </si>
  <si>
    <t>楊小姐</t>
    <phoneticPr fontId="2" type="noConversion"/>
  </si>
  <si>
    <t>iris1.yang@toshiba.co.jp</t>
  </si>
  <si>
    <t>4F台灣東芝電子零組件</t>
    <phoneticPr fontId="2" type="noConversion"/>
  </si>
  <si>
    <t>李宜倫</t>
    <phoneticPr fontId="2" type="noConversion"/>
  </si>
  <si>
    <t>sara1.lee@toshiba.co.jp</t>
  </si>
  <si>
    <t>黃昭雄</t>
    <phoneticPr fontId="2" type="noConversion"/>
  </si>
  <si>
    <t>akio.huang@toshiba.co.jp</t>
  </si>
  <si>
    <t>岳宇玲</t>
    <phoneticPr fontId="2" type="noConversion"/>
  </si>
  <si>
    <t>sunny1.yueh@toshiba.co.jp</t>
  </si>
  <si>
    <t>9F幻想娛樂科技</t>
    <phoneticPr fontId="2" type="noConversion"/>
  </si>
  <si>
    <t>angie.wang@fantasyplus.game.tw</t>
  </si>
  <si>
    <t>12F艾巨科技</t>
    <phoneticPr fontId="2" type="noConversion"/>
  </si>
  <si>
    <t>吳孟娟</t>
    <phoneticPr fontId="2" type="noConversion"/>
  </si>
  <si>
    <t>mandym.wu@igee.com.tw</t>
  </si>
  <si>
    <t>9F美商虹軟科技</t>
    <phoneticPr fontId="2" type="noConversion"/>
  </si>
  <si>
    <t>tchen@arcsoft.com</t>
  </si>
  <si>
    <t>管理部-美玉</t>
    <phoneticPr fontId="2" type="noConversion"/>
  </si>
  <si>
    <t>pimeiyu@segataiwan.com.tw</t>
  </si>
  <si>
    <t>15F泰勒梅</t>
    <phoneticPr fontId="2" type="noConversion"/>
  </si>
  <si>
    <t>sonia.huang@taylormadegolf.com</t>
  </si>
  <si>
    <t>elee@arcsoft.com</t>
  </si>
  <si>
    <t>6F-7F創連科技</t>
    <phoneticPr fontId="2" type="noConversion"/>
  </si>
  <si>
    <t xml:space="preserve">總務 </t>
    <phoneticPr fontId="2" type="noConversion"/>
  </si>
  <si>
    <t>ga@innonet.com.tw</t>
  </si>
  <si>
    <t>備   註   :</t>
    <phoneticPr fontId="2" type="noConversion"/>
  </si>
  <si>
    <t>reception.hungsheng@spacesworks.com</t>
    <phoneticPr fontId="2" type="noConversion"/>
  </si>
  <si>
    <t>地址</t>
    <phoneticPr fontId="5" type="noConversion"/>
  </si>
  <si>
    <t>室號</t>
    <phoneticPr fontId="5" type="noConversion"/>
  </si>
  <si>
    <t>戶號</t>
    <phoneticPr fontId="5" type="noConversion"/>
  </si>
  <si>
    <t>信件</t>
    <phoneticPr fontId="5" type="noConversion"/>
  </si>
  <si>
    <t>點交時間</t>
    <phoneticPr fontId="5" type="noConversion"/>
  </si>
  <si>
    <t>109.12.08</t>
    <phoneticPr fontId="5" type="noConversion"/>
  </si>
  <si>
    <t>02-7742-6200</t>
    <phoneticPr fontId="5" type="noConversion"/>
  </si>
  <si>
    <t>107.01.18</t>
    <phoneticPr fontId="5" type="noConversion"/>
  </si>
  <si>
    <t>全</t>
    <phoneticPr fontId="5" type="noConversion"/>
  </si>
  <si>
    <t>1502~
1504</t>
    <phoneticPr fontId="5" type="noConversion"/>
  </si>
  <si>
    <t>A1-A3</t>
    <phoneticPr fontId="5" type="noConversion"/>
  </si>
  <si>
    <t>0301</t>
    <phoneticPr fontId="5" type="noConversion"/>
  </si>
  <si>
    <t>02-6608-9169</t>
    <phoneticPr fontId="5" type="noConversion"/>
  </si>
  <si>
    <t>林兒萱</t>
    <phoneticPr fontId="5" type="noConversion"/>
  </si>
  <si>
    <t>0931-839-169</t>
    <phoneticPr fontId="5" type="noConversion"/>
  </si>
  <si>
    <t>0921-986-371</t>
    <phoneticPr fontId="5" type="noConversion"/>
  </si>
  <si>
    <t>107.12.01</t>
    <phoneticPr fontId="5" type="noConversion"/>
  </si>
  <si>
    <t>0302</t>
    <phoneticPr fontId="5" type="noConversion"/>
  </si>
  <si>
    <t>日商全日本空輸(股)有限公司台灣分公司</t>
    <phoneticPr fontId="5" type="noConversion"/>
  </si>
  <si>
    <t>02-2751-3758</t>
    <phoneticPr fontId="5" type="noConversion"/>
  </si>
  <si>
    <t>謝登明</t>
    <phoneticPr fontId="5" type="noConversion"/>
  </si>
  <si>
    <t>108.02.15</t>
    <phoneticPr fontId="5" type="noConversion"/>
  </si>
  <si>
    <t>0303~
0304</t>
    <phoneticPr fontId="5" type="noConversion"/>
  </si>
  <si>
    <t>A4-A5</t>
    <phoneticPr fontId="5" type="noConversion"/>
  </si>
  <si>
    <t>04-2284-2520</t>
    <phoneticPr fontId="5" type="noConversion"/>
  </si>
  <si>
    <t>王小姐</t>
    <phoneticPr fontId="5" type="noConversion"/>
  </si>
  <si>
    <t>#21</t>
    <phoneticPr fontId="5" type="noConversion"/>
  </si>
  <si>
    <t>109.05.15</t>
    <phoneticPr fontId="5" type="noConversion"/>
  </si>
  <si>
    <t>3F-5</t>
    <phoneticPr fontId="5" type="noConversion"/>
  </si>
  <si>
    <t>0306~
0307</t>
    <phoneticPr fontId="5" type="noConversion"/>
  </si>
  <si>
    <t>A1-A2</t>
    <phoneticPr fontId="5" type="noConversion"/>
  </si>
  <si>
    <t>02-2508-9909</t>
    <phoneticPr fontId="5" type="noConversion"/>
  </si>
  <si>
    <t>葉佳惠</t>
    <phoneticPr fontId="5" type="noConversion"/>
  </si>
  <si>
    <t>#355</t>
    <phoneticPr fontId="5" type="noConversion"/>
  </si>
  <si>
    <t>106.04.01</t>
    <phoneticPr fontId="5" type="noConversion"/>
  </si>
  <si>
    <t>3F-3</t>
    <phoneticPr fontId="5" type="noConversion"/>
  </si>
  <si>
    <t>0305</t>
    <phoneticPr fontId="5" type="noConversion"/>
  </si>
  <si>
    <t>02-2508-9988</t>
    <phoneticPr fontId="5" type="noConversion"/>
  </si>
  <si>
    <t>李宜倫(副理)
黃昭雄(協理)</t>
    <phoneticPr fontId="5" type="noConversion"/>
  </si>
  <si>
    <t>#306
#303</t>
    <phoneticPr fontId="5" type="noConversion"/>
  </si>
  <si>
    <t>0975-016-006
0928-637-027</t>
    <phoneticPr fontId="5" type="noConversion"/>
  </si>
  <si>
    <t>#9</t>
    <phoneticPr fontId="5" type="noConversion"/>
  </si>
  <si>
    <t>#306
#308</t>
    <phoneticPr fontId="5" type="noConversion"/>
  </si>
  <si>
    <t xml:space="preserve">0975-016-006
</t>
    <phoneticPr fontId="5" type="noConversion"/>
  </si>
  <si>
    <t>A1-A4</t>
    <phoneticPr fontId="5" type="noConversion"/>
  </si>
  <si>
    <t>百威旅行社(股)公司</t>
    <phoneticPr fontId="5" type="noConversion"/>
  </si>
  <si>
    <t>02-2751-5775</t>
    <phoneticPr fontId="5" type="noConversion"/>
  </si>
  <si>
    <t>周建良
張瓊文</t>
    <phoneticPr fontId="5" type="noConversion"/>
  </si>
  <si>
    <t>#1154
#1271</t>
    <phoneticPr fontId="5" type="noConversion"/>
  </si>
  <si>
    <t>0955-567-865
0981-201-872</t>
    <phoneticPr fontId="5" type="noConversion"/>
  </si>
  <si>
    <t>B:107.03.21
5A1-A6-1:106.12.15</t>
    <phoneticPr fontId="5" type="noConversion"/>
  </si>
  <si>
    <t>02-8771-0188</t>
    <phoneticPr fontId="5" type="noConversion"/>
  </si>
  <si>
    <t>洪先生
會計-楊s</t>
    <phoneticPr fontId="5" type="noConversion"/>
  </si>
  <si>
    <t>#675
#663</t>
    <phoneticPr fontId="5" type="noConversion"/>
  </si>
  <si>
    <t>109.10.22</t>
    <phoneticPr fontId="5" type="noConversion"/>
  </si>
  <si>
    <t>02-8771-9998</t>
    <phoneticPr fontId="5" type="noConversion"/>
  </si>
  <si>
    <t>莊宏義</t>
    <phoneticPr fontId="5" type="noConversion"/>
  </si>
  <si>
    <t>#8537</t>
    <phoneticPr fontId="5" type="noConversion"/>
  </si>
  <si>
    <t>0919-288-941</t>
    <phoneticPr fontId="5" type="noConversion"/>
  </si>
  <si>
    <t>6F:105.10.01
7F:105.10.01</t>
    <phoneticPr fontId="5" type="noConversion"/>
  </si>
  <si>
    <t>吳孟娟</t>
    <phoneticPr fontId="5" type="noConversion"/>
  </si>
  <si>
    <t>#8551</t>
    <phoneticPr fontId="5" type="noConversion"/>
  </si>
  <si>
    <t>0912-837-673</t>
    <phoneticPr fontId="5" type="noConversion"/>
  </si>
  <si>
    <t>全</t>
  </si>
  <si>
    <t>02-2721-8080</t>
    <phoneticPr fontId="5" type="noConversion"/>
  </si>
  <si>
    <t>吳家瑄
盧庭安</t>
    <phoneticPr fontId="5" type="noConversion"/>
  </si>
  <si>
    <t>#2331
#2321</t>
    <phoneticPr fontId="5" type="noConversion"/>
  </si>
  <si>
    <t>#2331</t>
    <phoneticPr fontId="5" type="noConversion"/>
  </si>
  <si>
    <t>張淑如</t>
    <phoneticPr fontId="5" type="noConversion"/>
  </si>
  <si>
    <t>#2107</t>
    <phoneticPr fontId="5" type="noConversion"/>
  </si>
  <si>
    <t>0920-383-360</t>
    <phoneticPr fontId="5" type="noConversion"/>
  </si>
  <si>
    <t>9F-5</t>
    <phoneticPr fontId="5" type="noConversion"/>
  </si>
  <si>
    <t>0907</t>
    <phoneticPr fontId="5" type="noConversion"/>
  </si>
  <si>
    <t>02-7723-9886</t>
    <phoneticPr fontId="5" type="noConversion"/>
  </si>
  <si>
    <t>王靜美</t>
    <phoneticPr fontId="5" type="noConversion"/>
  </si>
  <si>
    <t>#801</t>
    <phoneticPr fontId="5" type="noConversion"/>
  </si>
  <si>
    <t>0933-885-183</t>
    <phoneticPr fontId="5" type="noConversion"/>
  </si>
  <si>
    <t>107.06.11</t>
    <phoneticPr fontId="5" type="noConversion"/>
  </si>
  <si>
    <t>9F-3
9F-4</t>
    <phoneticPr fontId="5" type="noConversion"/>
  </si>
  <si>
    <t>0906</t>
    <phoneticPr fontId="5" type="noConversion"/>
  </si>
  <si>
    <t>02-8772-2773</t>
    <phoneticPr fontId="5" type="noConversion"/>
  </si>
  <si>
    <t>龔盈端</t>
    <phoneticPr fontId="5" type="noConversion"/>
  </si>
  <si>
    <t>0978-550-083</t>
    <phoneticPr fontId="5" type="noConversion"/>
  </si>
  <si>
    <t>9F-1</t>
    <phoneticPr fontId="5" type="noConversion"/>
  </si>
  <si>
    <t>0903</t>
    <phoneticPr fontId="5" type="noConversion"/>
  </si>
  <si>
    <t>美商虹軟</t>
    <phoneticPr fontId="5" type="noConversion"/>
  </si>
  <si>
    <t>02-2731-1518</t>
    <phoneticPr fontId="5" type="noConversion"/>
  </si>
  <si>
    <t>李婷婷
陳政陽</t>
    <phoneticPr fontId="5" type="noConversion"/>
  </si>
  <si>
    <t>#270
#230</t>
    <phoneticPr fontId="5" type="noConversion"/>
  </si>
  <si>
    <t>0953-103-000
0987-655-837</t>
    <phoneticPr fontId="5" type="noConversion"/>
  </si>
  <si>
    <t>#230</t>
    <phoneticPr fontId="5" type="noConversion"/>
  </si>
  <si>
    <t>106.09.15</t>
    <phoneticPr fontId="5" type="noConversion"/>
  </si>
  <si>
    <t>0901</t>
    <phoneticPr fontId="5" type="noConversion"/>
  </si>
  <si>
    <t>香港商勵盈國際股份有限公司台灣分公司</t>
    <phoneticPr fontId="5" type="noConversion"/>
  </si>
  <si>
    <t>02-2731-7876</t>
    <phoneticPr fontId="5" type="noConversion"/>
  </si>
  <si>
    <t>丘瑾璇</t>
    <phoneticPr fontId="5" type="noConversion"/>
  </si>
  <si>
    <t>0975-808-162</t>
    <phoneticPr fontId="5" type="noConversion"/>
  </si>
  <si>
    <t>10F-5
10F-6</t>
    <phoneticPr fontId="5" type="noConversion"/>
  </si>
  <si>
    <t>1006~
1007</t>
    <phoneticPr fontId="5" type="noConversion"/>
  </si>
  <si>
    <t>飛瑞旅行社(股)公司</t>
    <phoneticPr fontId="5" type="noConversion"/>
  </si>
  <si>
    <t>黃子芹</t>
    <phoneticPr fontId="5" type="noConversion"/>
  </si>
  <si>
    <t>107.03.01</t>
    <phoneticPr fontId="5" type="noConversion"/>
  </si>
  <si>
    <t>10F-3</t>
    <phoneticPr fontId="5" type="noConversion"/>
  </si>
  <si>
    <t>1005</t>
    <phoneticPr fontId="5" type="noConversion"/>
  </si>
  <si>
    <t>107.08.03</t>
    <phoneticPr fontId="5" type="noConversion"/>
  </si>
  <si>
    <t>10F-1</t>
    <phoneticPr fontId="5" type="noConversion"/>
  </si>
  <si>
    <t>大陸商廈門航空有限公司台灣分公司</t>
    <phoneticPr fontId="5" type="noConversion"/>
  </si>
  <si>
    <t>02-2711-5166</t>
    <phoneticPr fontId="5" type="noConversion"/>
  </si>
  <si>
    <t>周鵬宇</t>
    <phoneticPr fontId="5" type="noConversion"/>
  </si>
  <si>
    <t>#202</t>
    <phoneticPr fontId="5" type="noConversion"/>
  </si>
  <si>
    <t>0931-937-938</t>
    <phoneticPr fontId="5" type="noConversion"/>
  </si>
  <si>
    <t>台灣安士克</t>
    <phoneticPr fontId="5" type="noConversion"/>
  </si>
  <si>
    <t>02-2772-3355</t>
    <phoneticPr fontId="5" type="noConversion"/>
  </si>
  <si>
    <t>吳雲娜</t>
    <phoneticPr fontId="5" type="noConversion"/>
  </si>
  <si>
    <t>譚S</t>
    <phoneticPr fontId="5" type="noConversion"/>
  </si>
  <si>
    <t>107.08.16</t>
    <phoneticPr fontId="5" type="noConversion"/>
  </si>
  <si>
    <t>藤倉商事株式會社</t>
  </si>
  <si>
    <t>02-8788-4959</t>
    <phoneticPr fontId="5" type="noConversion"/>
  </si>
  <si>
    <t>許宇儂</t>
    <phoneticPr fontId="5" type="noConversion"/>
  </si>
  <si>
    <t>#233</t>
    <phoneticPr fontId="5" type="noConversion"/>
  </si>
  <si>
    <t>0936-995-313
0921-218-366</t>
    <phoneticPr fontId="5" type="noConversion"/>
  </si>
  <si>
    <t>107.09.14</t>
    <phoneticPr fontId="5" type="noConversion"/>
  </si>
  <si>
    <t>11F-2</t>
    <phoneticPr fontId="5" type="noConversion"/>
  </si>
  <si>
    <t>1104~
1107</t>
    <phoneticPr fontId="5" type="noConversion"/>
  </si>
  <si>
    <t>世雅育樂(股)公司</t>
    <phoneticPr fontId="5" type="noConversion"/>
  </si>
  <si>
    <t>02-2771-9878</t>
    <phoneticPr fontId="5" type="noConversion"/>
  </si>
  <si>
    <t>#722</t>
    <phoneticPr fontId="5" type="noConversion"/>
  </si>
  <si>
    <t>0988-118-494</t>
    <phoneticPr fontId="5" type="noConversion"/>
  </si>
  <si>
    <t>107.06.15</t>
    <phoneticPr fontId="5" type="noConversion"/>
  </si>
  <si>
    <t>11F-1</t>
    <phoneticPr fontId="5" type="noConversion"/>
  </si>
  <si>
    <t>109.11.13</t>
    <phoneticPr fontId="5" type="noConversion"/>
  </si>
  <si>
    <t>02-2778-5500</t>
    <phoneticPr fontId="5" type="noConversion"/>
  </si>
  <si>
    <t>張淑倩</t>
    <phoneticPr fontId="5" type="noConversion"/>
  </si>
  <si>
    <t>0987-793-808</t>
    <phoneticPr fontId="5" type="noConversion"/>
  </si>
  <si>
    <t>02-7709-5179</t>
    <phoneticPr fontId="5" type="noConversion"/>
  </si>
  <si>
    <t>梁康婷</t>
    <phoneticPr fontId="5" type="noConversion"/>
  </si>
  <si>
    <t>#2106</t>
    <phoneticPr fontId="5" type="noConversion"/>
  </si>
  <si>
    <t>0989-600-882</t>
    <phoneticPr fontId="5" type="noConversion"/>
  </si>
  <si>
    <t>108.08.01</t>
    <phoneticPr fontId="5" type="noConversion"/>
  </si>
  <si>
    <t>02-7723-8855</t>
    <phoneticPr fontId="5" type="noConversion"/>
  </si>
  <si>
    <t>13F-3</t>
    <phoneticPr fontId="5" type="noConversion"/>
  </si>
  <si>
    <t>108.03.06
A6-1:109.08.28</t>
    <phoneticPr fontId="5" type="noConversion"/>
  </si>
  <si>
    <t>13F-1</t>
    <phoneticPr fontId="5" type="noConversion"/>
  </si>
  <si>
    <t>1303~
1304</t>
    <phoneticPr fontId="5" type="noConversion"/>
  </si>
  <si>
    <t>02-2183-1101</t>
    <phoneticPr fontId="5" type="noConversion"/>
  </si>
  <si>
    <t>108.03.08</t>
    <phoneticPr fontId="5" type="noConversion"/>
  </si>
  <si>
    <t>02-2731-0366</t>
    <phoneticPr fontId="5" type="noConversion"/>
  </si>
  <si>
    <t>蔡佩珊</t>
    <phoneticPr fontId="5" type="noConversion"/>
  </si>
  <si>
    <t>#51</t>
    <phoneticPr fontId="5" type="noConversion"/>
  </si>
  <si>
    <t>0980-396-398</t>
    <phoneticPr fontId="5" type="noConversion"/>
  </si>
  <si>
    <t>108.04.16</t>
    <phoneticPr fontId="5" type="noConversion"/>
  </si>
  <si>
    <t>15F-1</t>
  </si>
  <si>
    <t>台灣泰勒梅高爾夫有限公司</t>
    <phoneticPr fontId="5" type="noConversion"/>
  </si>
  <si>
    <t>02-2741-5921</t>
    <phoneticPr fontId="5" type="noConversion"/>
  </si>
  <si>
    <t>黃怡萍</t>
  </si>
  <si>
    <t>0920-759-154</t>
    <phoneticPr fontId="5" type="noConversion"/>
  </si>
  <si>
    <t>15B:107.10.01
15-A3-1:107.09.01</t>
    <phoneticPr fontId="5" type="noConversion"/>
  </si>
  <si>
    <t>16F-1
16F-2</t>
    <phoneticPr fontId="5" type="noConversion"/>
  </si>
  <si>
    <t>1601
1603~
1604</t>
    <phoneticPr fontId="5" type="noConversion"/>
  </si>
  <si>
    <t>A1-A2
A3-1</t>
    <phoneticPr fontId="5" type="noConversion"/>
  </si>
  <si>
    <t>台灣丸紅(股)公司</t>
    <phoneticPr fontId="5" type="noConversion"/>
  </si>
  <si>
    <t>02-2173-5603</t>
    <phoneticPr fontId="5" type="noConversion"/>
  </si>
  <si>
    <t>李欣怡</t>
    <phoneticPr fontId="5" type="noConversion"/>
  </si>
  <si>
    <t>0911-126-425</t>
    <phoneticPr fontId="5" type="noConversion"/>
  </si>
  <si>
    <t>2173-5600
曾S</t>
    <phoneticPr fontId="5" type="noConversion"/>
  </si>
  <si>
    <t>107.03.08</t>
    <phoneticPr fontId="5" type="noConversion"/>
  </si>
  <si>
    <t>02-2781-5696</t>
    <phoneticPr fontId="5" type="noConversion"/>
  </si>
  <si>
    <t>謝秀葉</t>
    <phoneticPr fontId="5" type="noConversion"/>
  </si>
  <si>
    <t>#3101</t>
    <phoneticPr fontId="5" type="noConversion"/>
  </si>
  <si>
    <t>0952-416-157</t>
    <phoneticPr fontId="5" type="noConversion"/>
  </si>
  <si>
    <t>02-2777-2186</t>
    <phoneticPr fontId="5" type="noConversion"/>
  </si>
  <si>
    <t>陳建旺</t>
    <phoneticPr fontId="5" type="noConversion"/>
  </si>
  <si>
    <t>#2311</t>
    <phoneticPr fontId="5" type="noConversion"/>
  </si>
  <si>
    <t>0918-956-256</t>
    <phoneticPr fontId="5" type="noConversion"/>
  </si>
  <si>
    <t>#2817 林S</t>
    <phoneticPr fontId="5" type="noConversion"/>
  </si>
  <si>
    <t>英商克雷達投資有限公司台灣分公司</t>
    <phoneticPr fontId="5" type="noConversion"/>
  </si>
  <si>
    <t>02-8771-0033</t>
    <phoneticPr fontId="5" type="noConversion"/>
  </si>
  <si>
    <t>總機</t>
    <phoneticPr fontId="5" type="noConversion"/>
  </si>
  <si>
    <t>#99999</t>
    <phoneticPr fontId="5" type="noConversion"/>
  </si>
  <si>
    <t>傅彥凱</t>
    <phoneticPr fontId="5" type="noConversion"/>
  </si>
  <si>
    <t>#90301</t>
    <phoneticPr fontId="5" type="noConversion"/>
  </si>
  <si>
    <t>0939-797-948</t>
    <phoneticPr fontId="5" type="noConversion"/>
  </si>
  <si>
    <t>周益春</t>
    <phoneticPr fontId="5" type="noConversion"/>
  </si>
  <si>
    <t>0952-108-425</t>
    <phoneticPr fontId="5" type="noConversion"/>
  </si>
  <si>
    <t>3F-B</t>
    <phoneticPr fontId="5" type="noConversion"/>
  </si>
  <si>
    <t>天獅</t>
    <phoneticPr fontId="5" type="noConversion"/>
  </si>
  <si>
    <t>107.6.13~107.08.10</t>
    <phoneticPr fontId="5" type="noConversion"/>
  </si>
  <si>
    <t>3F-A4</t>
    <phoneticPr fontId="5" type="noConversion"/>
  </si>
  <si>
    <t>20FA1</t>
    <phoneticPr fontId="5" type="noConversion"/>
  </si>
  <si>
    <t>財團法人林堉璘宏泰教育基金會</t>
    <phoneticPr fontId="5" type="noConversion"/>
  </si>
  <si>
    <t>107.4.25~107.4.26</t>
    <phoneticPr fontId="5" type="noConversion"/>
  </si>
  <si>
    <t>108.12.01-109.11.30</t>
    <phoneticPr fontId="5" type="noConversion"/>
  </si>
  <si>
    <t>3F-1</t>
    <phoneticPr fontId="5" type="noConversion"/>
  </si>
  <si>
    <t>荷屬安地列斯商天獅健康產品有限公司台灣分公司</t>
    <phoneticPr fontId="5" type="noConversion"/>
  </si>
  <si>
    <t>02-8772-0385</t>
    <phoneticPr fontId="5" type="noConversion"/>
  </si>
  <si>
    <t>許瀞文</t>
    <phoneticPr fontId="5" type="noConversion"/>
  </si>
  <si>
    <t>0916-980-322</t>
    <phoneticPr fontId="5" type="noConversion"/>
  </si>
  <si>
    <t>東芝記憶體</t>
    <phoneticPr fontId="5" type="noConversion"/>
  </si>
  <si>
    <t>#1270
#1271</t>
    <phoneticPr fontId="5" type="noConversion"/>
  </si>
  <si>
    <t>7F-1</t>
    <phoneticPr fontId="5" type="noConversion"/>
  </si>
  <si>
    <t>0703~
0707</t>
    <phoneticPr fontId="5" type="noConversion"/>
  </si>
  <si>
    <t>A1-A5</t>
    <phoneticPr fontId="5" type="noConversion"/>
  </si>
  <si>
    <t>0801
0803~
0807</t>
    <phoneticPr fontId="5" type="noConversion"/>
  </si>
  <si>
    <t>A1-A5
A6-1</t>
    <phoneticPr fontId="5" type="noConversion"/>
  </si>
  <si>
    <t>賴怡萱</t>
    <phoneticPr fontId="5" type="noConversion"/>
  </si>
  <si>
    <t>#2321</t>
    <phoneticPr fontId="5" type="noConversion"/>
  </si>
  <si>
    <t>0905~
0906</t>
    <phoneticPr fontId="5" type="noConversion"/>
  </si>
  <si>
    <t>A2-A3</t>
    <phoneticPr fontId="5" type="noConversion"/>
  </si>
  <si>
    <t>蘇     荻</t>
    <phoneticPr fontId="5" type="noConversion"/>
  </si>
  <si>
    <t>#2005</t>
    <phoneticPr fontId="5" type="noConversion"/>
  </si>
  <si>
    <t>0910-783-432</t>
    <phoneticPr fontId="5" type="noConversion"/>
  </si>
  <si>
    <t>0902</t>
    <phoneticPr fontId="5" type="noConversion"/>
  </si>
  <si>
    <t>摩昇實業</t>
    <phoneticPr fontId="5" type="noConversion"/>
  </si>
  <si>
    <t>02-2752-0336</t>
    <phoneticPr fontId="5" type="noConversion"/>
  </si>
  <si>
    <t>林昕霓</t>
    <phoneticPr fontId="5" type="noConversion"/>
  </si>
  <si>
    <t>0965-136-968</t>
    <phoneticPr fontId="5" type="noConversion"/>
  </si>
  <si>
    <t>02-8161-3442</t>
    <phoneticPr fontId="5" type="noConversion"/>
  </si>
  <si>
    <t>黃恬琳</t>
    <phoneticPr fontId="5" type="noConversion"/>
  </si>
  <si>
    <t>0918-142-785</t>
    <phoneticPr fontId="5" type="noConversion"/>
  </si>
  <si>
    <t>盧彥君</t>
    <phoneticPr fontId="5" type="noConversion"/>
  </si>
  <si>
    <t>陳羿朱(經理)</t>
    <phoneticPr fontId="5" type="noConversion"/>
  </si>
  <si>
    <t>翁美琴(經理)
許宇儂</t>
    <phoneticPr fontId="5" type="noConversion"/>
  </si>
  <si>
    <t>#248
#249</t>
    <phoneticPr fontId="5" type="noConversion"/>
  </si>
  <si>
    <t>畢美玉</t>
    <phoneticPr fontId="5" type="noConversion"/>
  </si>
  <si>
    <t>#720</t>
    <phoneticPr fontId="5" type="noConversion"/>
  </si>
  <si>
    <t>賴嵐婷</t>
    <phoneticPr fontId="5" type="noConversion"/>
  </si>
  <si>
    <t>0918956256</t>
    <phoneticPr fontId="5" type="noConversion"/>
  </si>
  <si>
    <t>#2742
#2760</t>
    <phoneticPr fontId="5" type="noConversion"/>
  </si>
  <si>
    <t>辰亞能源</t>
    <phoneticPr fontId="2" type="noConversion"/>
  </si>
  <si>
    <t>公司名稱</t>
    <phoneticPr fontId="5" type="noConversion"/>
  </si>
  <si>
    <t>1.2.15F</t>
    <phoneticPr fontId="5" type="noConversion"/>
  </si>
  <si>
    <t>日商丹下都市建築設計(股)公司台北辦事處</t>
    <phoneticPr fontId="5" type="noConversion"/>
  </si>
  <si>
    <t>日商全日本空輸(股)有限公司台灣分公司</t>
  </si>
  <si>
    <t>台灣鎧俠</t>
  </si>
  <si>
    <t>3.4F</t>
    <phoneticPr fontId="5" type="noConversion"/>
  </si>
  <si>
    <t>6.7F</t>
    <phoneticPr fontId="5" type="noConversion"/>
  </si>
  <si>
    <t>幻想娛樂科技(股)公司</t>
  </si>
  <si>
    <t>台灣愛麗思歐雅瑪(股)公司</t>
  </si>
  <si>
    <t>美商虹軟</t>
  </si>
  <si>
    <t>飛瑞旅行社(股)公司</t>
  </si>
  <si>
    <t>大陸商廈門航空有限公司台灣分公司</t>
  </si>
  <si>
    <t>世雅育樂(股)公司</t>
  </si>
  <si>
    <t>艾巨科技(股)公司</t>
  </si>
  <si>
    <t>海龍二號風電(股)公司</t>
  </si>
  <si>
    <t>台灣亞瑪迪斯(股)公司</t>
  </si>
  <si>
    <t>日商丸紅國際股份有限公司電力專案分公司</t>
  </si>
  <si>
    <t>台灣丸紅(股)公司</t>
  </si>
  <si>
    <t>臺北市都市更新處</t>
  </si>
  <si>
    <t>臺北市政府都市發展局</t>
  </si>
  <si>
    <t>更新日期:</t>
    <phoneticPr fontId="5" type="noConversion"/>
  </si>
  <si>
    <t>承租戶</t>
    <phoneticPr fontId="5" type="noConversion"/>
  </si>
  <si>
    <t>公司電話</t>
    <phoneticPr fontId="5" type="noConversion"/>
  </si>
  <si>
    <t>主要
聯絡人</t>
    <phoneticPr fontId="5" type="noConversion"/>
  </si>
  <si>
    <t>分機</t>
    <phoneticPr fontId="5" type="noConversion"/>
  </si>
  <si>
    <t>手機</t>
    <phoneticPr fontId="5" type="noConversion"/>
  </si>
  <si>
    <t>管理費
聯絡人</t>
    <phoneticPr fontId="5" type="noConversion"/>
  </si>
  <si>
    <t>蔡棠華</t>
    <phoneticPr fontId="5" type="noConversion"/>
  </si>
  <si>
    <t>李宜倫
林's</t>
    <phoneticPr fontId="5" type="noConversion"/>
  </si>
  <si>
    <t>106.12.16
A3戶:107.05.16~109.5.15</t>
    <phoneticPr fontId="5" type="noConversion"/>
  </si>
  <si>
    <t>107.10.08
原租10FA4點回日:108.01.25</t>
    <phoneticPr fontId="5" type="noConversion"/>
  </si>
  <si>
    <t>彭景宸#9</t>
    <phoneticPr fontId="5" type="noConversion"/>
  </si>
  <si>
    <t>107.10.01
艾巨轉天域:10911.01</t>
    <phoneticPr fontId="5" type="noConversion"/>
  </si>
  <si>
    <t>1999轉
1035</t>
    <phoneticPr fontId="5" type="noConversion"/>
  </si>
  <si>
    <t>點回:108.11.25</t>
    <phoneticPr fontId="5" type="noConversion"/>
  </si>
  <si>
    <t>107.08.10止租</t>
    <phoneticPr fontId="5" type="noConversion"/>
  </si>
  <si>
    <t>109.08.14止租</t>
    <phoneticPr fontId="5" type="noConversion"/>
  </si>
  <si>
    <t>林先生
02-2173-5610</t>
    <phoneticPr fontId="5" type="noConversion"/>
  </si>
  <si>
    <t>陳怡潔#3098</t>
    <phoneticPr fontId="5" type="noConversion"/>
  </si>
  <si>
    <t>9F辰亞能源</t>
    <phoneticPr fontId="2" type="noConversion"/>
  </si>
  <si>
    <t>陳美君  經理</t>
    <phoneticPr fontId="2" type="noConversion"/>
  </si>
  <si>
    <t>#17</t>
    <phoneticPr fontId="5" type="noConversion"/>
  </si>
  <si>
    <t>110.01.28</t>
    <phoneticPr fontId="5" type="noConversion"/>
  </si>
  <si>
    <t>03-558-8685</t>
    <phoneticPr fontId="5" type="noConversion"/>
  </si>
  <si>
    <t>陳美君(經理)
Mandy</t>
    <phoneticPr fontId="5" type="noConversion"/>
  </si>
  <si>
    <t>0919-932-083
8161-3416   黃S</t>
    <phoneticPr fontId="5" type="noConversion"/>
  </si>
  <si>
    <t>本國</t>
    <phoneticPr fontId="5" type="noConversion"/>
  </si>
  <si>
    <t>hsiangpin@segataiwan.com.tw</t>
  </si>
  <si>
    <t>總務-嚴翔彬</t>
    <phoneticPr fontId="2" type="noConversion"/>
  </si>
  <si>
    <t>嚴翔彬</t>
    <phoneticPr fontId="5" type="noConversion"/>
  </si>
  <si>
    <t>飛瑞: 02-8161-3456
飛達: 02-8161-3454</t>
    <phoneticPr fontId="5" type="noConversion"/>
  </si>
  <si>
    <t>#3416</t>
    <phoneticPr fontId="5" type="noConversion"/>
  </si>
  <si>
    <t>楊小姐</t>
    <phoneticPr fontId="5" type="noConversion"/>
  </si>
  <si>
    <t xml:space="preserve">楊小姐 </t>
    <phoneticPr fontId="2" type="noConversion"/>
  </si>
  <si>
    <t>stacy.yang@amadeus.com</t>
    <phoneticPr fontId="2" type="noConversion"/>
  </si>
  <si>
    <t xml:space="preserve"> 徐珮怡</t>
    <phoneticPr fontId="2" type="noConversion"/>
  </si>
  <si>
    <t>0933-200-203</t>
    <phoneticPr fontId="2" type="noConversion"/>
  </si>
  <si>
    <t>黃明琦</t>
    <phoneticPr fontId="2" type="noConversion"/>
  </si>
  <si>
    <t>0926-206-099</t>
    <phoneticPr fontId="2" type="noConversion"/>
  </si>
  <si>
    <t>梁淑瓊</t>
    <phoneticPr fontId="2" type="noConversion"/>
  </si>
  <si>
    <t>0939-362-976</t>
    <phoneticPr fontId="2" type="noConversion"/>
  </si>
  <si>
    <t>9FA2</t>
    <phoneticPr fontId="2" type="noConversion"/>
  </si>
  <si>
    <t>西氏亞洲有限公司</t>
    <phoneticPr fontId="5" type="noConversion"/>
  </si>
  <si>
    <t>辰亞能源(股)公司</t>
  </si>
  <si>
    <t>邱志敏</t>
    <phoneticPr fontId="5" type="noConversion"/>
  </si>
  <si>
    <t>#3415</t>
    <phoneticPr fontId="5" type="noConversion"/>
  </si>
  <si>
    <t>jimmychiu@gofederal.com.tw</t>
    <phoneticPr fontId="2" type="noConversion"/>
  </si>
  <si>
    <t>邱志敏</t>
    <phoneticPr fontId="2" type="noConversion"/>
  </si>
  <si>
    <t>3FA6-1</t>
    <phoneticPr fontId="5" type="noConversion"/>
  </si>
  <si>
    <t>3F-5
 3F-6</t>
    <phoneticPr fontId="5" type="noConversion"/>
  </si>
  <si>
    <t>3FA6</t>
    <phoneticPr fontId="5" type="noConversion"/>
  </si>
  <si>
    <t>西氏亞洲</t>
    <phoneticPr fontId="5" type="noConversion"/>
  </si>
  <si>
    <t>掌中乾坤(創連)</t>
    <phoneticPr fontId="5" type="noConversion"/>
  </si>
  <si>
    <t>19F 全</t>
    <phoneticPr fontId="5" type="noConversion"/>
  </si>
  <si>
    <t>1601
1603~4</t>
    <phoneticPr fontId="5" type="noConversion"/>
  </si>
  <si>
    <t>1502~1504</t>
    <phoneticPr fontId="5" type="noConversion"/>
  </si>
  <si>
    <t>香港商勵盈國際(股)公司台灣分公司</t>
    <phoneticPr fontId="5" type="noConversion"/>
  </si>
  <si>
    <t>19F</t>
    <phoneticPr fontId="2" type="noConversion"/>
  </si>
  <si>
    <t>簽收人 / 日期</t>
    <phoneticPr fontId="5" type="noConversion"/>
  </si>
  <si>
    <t>簡均亦</t>
    <phoneticPr fontId="5" type="noConversion"/>
  </si>
  <si>
    <t>1F印尼銀行</t>
    <phoneticPr fontId="2" type="noConversion"/>
  </si>
  <si>
    <t>簡均亦</t>
    <phoneticPr fontId="2" type="noConversion"/>
  </si>
  <si>
    <t>02-2721-6330</t>
    <phoneticPr fontId="5" type="noConversion"/>
  </si>
  <si>
    <t>11F奧東有限公司</t>
    <phoneticPr fontId="2" type="noConversion"/>
  </si>
  <si>
    <t>mandy-c@marubeni-cye.com</t>
    <phoneticPr fontId="2" type="noConversion"/>
  </si>
  <si>
    <t>傅善志</t>
  </si>
  <si>
    <t>danti-f@marubeni.com</t>
  </si>
  <si>
    <t>序號</t>
    <phoneticPr fontId="5" type="noConversion"/>
  </si>
  <si>
    <t>外商</t>
    <phoneticPr fontId="5" type="noConversion"/>
  </si>
  <si>
    <t>建築設計</t>
    <phoneticPr fontId="5" type="noConversion"/>
  </si>
  <si>
    <t>台北神策諮詢顧問有限公司</t>
    <phoneticPr fontId="2" type="noConversion"/>
  </si>
  <si>
    <t>梁小姐</t>
    <phoneticPr fontId="2" type="noConversion"/>
  </si>
  <si>
    <t>黃小姐</t>
    <phoneticPr fontId="2" type="noConversion"/>
  </si>
  <si>
    <t>印尼人民銀行</t>
    <phoneticPr fontId="5" type="noConversion"/>
  </si>
  <si>
    <t>1FA3</t>
    <phoneticPr fontId="5" type="noConversion"/>
  </si>
  <si>
    <t>12F</t>
    <phoneticPr fontId="5" type="noConversion"/>
  </si>
  <si>
    <t>1F</t>
    <phoneticPr fontId="2" type="noConversion"/>
  </si>
  <si>
    <t>星宇航空</t>
    <phoneticPr fontId="2" type="noConversion"/>
  </si>
  <si>
    <t>西氏亞洲有限公司(威法)</t>
    <phoneticPr fontId="5" type="noConversion"/>
  </si>
  <si>
    <t>嚴翔彬</t>
    <phoneticPr fontId="2" type="noConversion"/>
  </si>
  <si>
    <t>星宇航空股份有限公司</t>
    <phoneticPr fontId="2" type="noConversion"/>
  </si>
  <si>
    <t>168號</t>
    <phoneticPr fontId="2" type="noConversion"/>
  </si>
  <si>
    <t>5F-3~6</t>
    <phoneticPr fontId="5" type="noConversion"/>
  </si>
  <si>
    <t>0505~
0507</t>
    <phoneticPr fontId="2" type="noConversion"/>
  </si>
  <si>
    <t>0505~
0507</t>
    <phoneticPr fontId="5" type="noConversion"/>
  </si>
  <si>
    <t>5F-3.5.6</t>
    <phoneticPr fontId="5" type="noConversion"/>
  </si>
  <si>
    <t>110.06.01</t>
    <phoneticPr fontId="5" type="noConversion"/>
  </si>
  <si>
    <t>168號</t>
    <phoneticPr fontId="5" type="noConversion"/>
  </si>
  <si>
    <t>A2</t>
    <phoneticPr fontId="5" type="noConversion"/>
  </si>
  <si>
    <t>星宇航空股份有限公司</t>
    <phoneticPr fontId="5" type="noConversion"/>
  </si>
  <si>
    <t>110.05.31</t>
    <phoneticPr fontId="5" type="noConversion"/>
  </si>
  <si>
    <t>台灣安士克精密股份有限公司</t>
  </si>
  <si>
    <t>美商虹軟科技(股)有限公司台灣分公司</t>
  </si>
  <si>
    <t xml:space="preserve">                      </t>
    <phoneticPr fontId="2" type="noConversion"/>
  </si>
  <si>
    <t>1FA2</t>
    <phoneticPr fontId="5" type="noConversion"/>
  </si>
  <si>
    <t>航空業</t>
    <phoneticPr fontId="5" type="noConversion"/>
  </si>
  <si>
    <t xml:space="preserve">contactus@sensorsdata.com
</t>
    <phoneticPr fontId="2" type="noConversion"/>
  </si>
  <si>
    <t>wudi@sensorsdata.com</t>
    <phoneticPr fontId="2" type="noConversion"/>
  </si>
  <si>
    <t>吳迪</t>
    <phoneticPr fontId="2" type="noConversion"/>
  </si>
  <si>
    <t>楊婉瑩</t>
    <phoneticPr fontId="2" type="noConversion"/>
  </si>
  <si>
    <t>Nico</t>
    <phoneticPr fontId="2" type="noConversion"/>
  </si>
  <si>
    <t>nico.lin@hytechtech.com</t>
    <phoneticPr fontId="2" type="noConversion"/>
  </si>
  <si>
    <t>張銘祥</t>
    <phoneticPr fontId="2" type="noConversion"/>
  </si>
  <si>
    <t>1F星宇航空</t>
    <phoneticPr fontId="2" type="noConversion"/>
  </si>
  <si>
    <t>jackchang@starlux-airlines.com</t>
    <phoneticPr fontId="2" type="noConversion"/>
  </si>
  <si>
    <t>0930-772-910
8161-3416   黃S</t>
    <phoneticPr fontId="5" type="noConversion"/>
  </si>
  <si>
    <t>陳小姐</t>
    <phoneticPr fontId="2" type="noConversion"/>
  </si>
  <si>
    <t>maru@tangeassociates.com</t>
    <phoneticPr fontId="2" type="noConversion"/>
  </si>
  <si>
    <t>宏盛
A3-都更處</t>
    <phoneticPr fontId="2" type="noConversion"/>
  </si>
  <si>
    <t>A1+2-捷運局
A3-捷運局
+都更處</t>
    <phoneticPr fontId="2" type="noConversion"/>
  </si>
  <si>
    <t>tina.liang@oriente.com</t>
  </si>
  <si>
    <t>11F萬和科技</t>
    <phoneticPr fontId="2" type="noConversion"/>
  </si>
  <si>
    <t>呂小姐</t>
    <phoneticPr fontId="2" type="noConversion"/>
  </si>
  <si>
    <t>lvwn@wondershare.cn</t>
  </si>
  <si>
    <t>邢佩瑜Abbie</t>
    <phoneticPr fontId="2" type="noConversion"/>
  </si>
  <si>
    <t>Abbie.Hsing@hytechtech.com</t>
    <phoneticPr fontId="2" type="noConversion"/>
  </si>
  <si>
    <t>劉瑋慈Tina</t>
    <phoneticPr fontId="2" type="noConversion"/>
  </si>
  <si>
    <t>tina.liu@hytechtech.com</t>
    <phoneticPr fontId="2" type="noConversion"/>
  </si>
  <si>
    <t>陳經理Mandy
曹志康</t>
    <phoneticPr fontId="5" type="noConversion"/>
  </si>
  <si>
    <t>曹R
02-2721-3998</t>
    <phoneticPr fontId="2" type="noConversion"/>
  </si>
  <si>
    <t>y.chen@newart-ir.jp</t>
    <phoneticPr fontId="2" type="noConversion"/>
  </si>
  <si>
    <t>海科科技有限公司</t>
    <phoneticPr fontId="5" type="noConversion"/>
  </si>
  <si>
    <t>5F海科科技有限公司</t>
    <phoneticPr fontId="2" type="noConversion"/>
  </si>
  <si>
    <t>台灣白石鑽石有限公司</t>
    <phoneticPr fontId="5" type="noConversion"/>
  </si>
  <si>
    <t>海科科技有限公司</t>
    <phoneticPr fontId="2" type="noConversion"/>
  </si>
  <si>
    <t>台灣威法服務有限公司(西氏亞洲)</t>
    <phoneticPr fontId="2" type="noConversion"/>
  </si>
  <si>
    <t>周鵬宇</t>
    <phoneticPr fontId="2" type="noConversion"/>
  </si>
  <si>
    <t>0975-917-336</t>
    <phoneticPr fontId="2" type="noConversion"/>
  </si>
  <si>
    <t>盧彥君</t>
    <phoneticPr fontId="2" type="noConversion"/>
  </si>
  <si>
    <t>0931-937-938</t>
    <phoneticPr fontId="2" type="noConversion"/>
  </si>
  <si>
    <t>日商丹下</t>
    <phoneticPr fontId="2" type="noConversion"/>
  </si>
  <si>
    <t>wendy.chen@interasialine.com</t>
  </si>
  <si>
    <t>8F運達航運</t>
    <phoneticPr fontId="2" type="noConversion"/>
  </si>
  <si>
    <t>8F</t>
    <phoneticPr fontId="2" type="noConversion"/>
  </si>
  <si>
    <t>運達航運</t>
    <phoneticPr fontId="2" type="noConversion"/>
  </si>
  <si>
    <t>A1-A6-1</t>
    <phoneticPr fontId="2" type="noConversion"/>
  </si>
  <si>
    <t>張銘祥 
蔡家瑜</t>
    <phoneticPr fontId="2" type="noConversion"/>
  </si>
  <si>
    <t>#605</t>
    <phoneticPr fontId="2" type="noConversion"/>
  </si>
  <si>
    <t>#7012
#8417</t>
    <phoneticPr fontId="2" type="noConversion"/>
  </si>
  <si>
    <t>蔡家瑜</t>
    <phoneticPr fontId="2" type="noConversion"/>
  </si>
  <si>
    <t>kerrytsai@starlux-airlines.com</t>
    <phoneticPr fontId="2" type="noConversion"/>
  </si>
  <si>
    <t>anitachien@corp.bri.co.id</t>
    <phoneticPr fontId="2" type="noConversion"/>
  </si>
  <si>
    <t>Nico
0987-880-547</t>
    <phoneticPr fontId="2" type="noConversion"/>
  </si>
  <si>
    <t>運達航運股份有限公司</t>
    <phoneticPr fontId="2" type="noConversion"/>
  </si>
  <si>
    <t>保樂力加</t>
    <phoneticPr fontId="2" type="noConversion"/>
  </si>
  <si>
    <t xml:space="preserve">台灣保樂力加股份有限公司 </t>
    <phoneticPr fontId="2" type="noConversion"/>
  </si>
  <si>
    <t>星聖資訊服務有限公司</t>
    <phoneticPr fontId="5" type="noConversion"/>
  </si>
  <si>
    <t>110.09.01</t>
    <phoneticPr fontId="5" type="noConversion"/>
  </si>
  <si>
    <t>110.08.31</t>
    <phoneticPr fontId="5" type="noConversion"/>
  </si>
  <si>
    <t>台灣保樂力加股份有限公司</t>
    <phoneticPr fontId="5" type="noConversion"/>
  </si>
  <si>
    <t>運達航運股份有限公司</t>
    <phoneticPr fontId="5" type="noConversion"/>
  </si>
  <si>
    <t>10F-2</t>
    <phoneticPr fontId="5" type="noConversion"/>
  </si>
  <si>
    <t>15F-1</t>
    <phoneticPr fontId="5" type="noConversion"/>
  </si>
  <si>
    <t>14FA1-A3</t>
    <phoneticPr fontId="5" type="noConversion"/>
  </si>
  <si>
    <t>10F-2</t>
    <phoneticPr fontId="2" type="noConversion"/>
  </si>
  <si>
    <t>星聖資訊股份有限公司</t>
    <phoneticPr fontId="2" type="noConversion"/>
  </si>
  <si>
    <t>台灣保樂力加股份有限公司</t>
    <phoneticPr fontId="2" type="noConversion"/>
  </si>
  <si>
    <t>劉瑋慈</t>
    <phoneticPr fontId="2" type="noConversion"/>
  </si>
  <si>
    <t>0983-656-719</t>
    <phoneticPr fontId="2" type="noConversion"/>
  </si>
  <si>
    <t>邱立玨</t>
    <phoneticPr fontId="2" type="noConversion"/>
  </si>
  <si>
    <t>0988-256-163</t>
    <phoneticPr fontId="2" type="noConversion"/>
  </si>
  <si>
    <t>林宜穎</t>
    <phoneticPr fontId="2" type="noConversion"/>
  </si>
  <si>
    <t>洪峻雄</t>
    <phoneticPr fontId="2" type="noConversion"/>
  </si>
  <si>
    <t>0930-208-837</t>
    <phoneticPr fontId="2" type="noConversion"/>
  </si>
  <si>
    <t>0987-880-547</t>
    <phoneticPr fontId="2" type="noConversion"/>
  </si>
  <si>
    <t xml:space="preserve"> 張哲豪</t>
    <phoneticPr fontId="2" type="noConversion"/>
  </si>
  <si>
    <t>0974-309-435</t>
    <phoneticPr fontId="2" type="noConversion"/>
  </si>
  <si>
    <t>曾光枝</t>
    <phoneticPr fontId="2" type="noConversion"/>
  </si>
  <si>
    <t>0925-812-011</t>
    <phoneticPr fontId="2" type="noConversion"/>
  </si>
  <si>
    <t>美商虹軟科技(股)公司台灣分公司</t>
    <phoneticPr fontId="5" type="noConversion"/>
  </si>
  <si>
    <t>太平洋旅行社</t>
    <phoneticPr fontId="2" type="noConversion"/>
  </si>
  <si>
    <t>太平洋旅行社股份有限公司</t>
    <phoneticPr fontId="5" type="noConversion"/>
  </si>
  <si>
    <t>太平洋旅行社股份有限公司</t>
    <phoneticPr fontId="2" type="noConversion"/>
  </si>
  <si>
    <t>旅遊業</t>
    <phoneticPr fontId="5" type="noConversion"/>
  </si>
  <si>
    <t>運輸</t>
    <phoneticPr fontId="5" type="noConversion"/>
  </si>
  <si>
    <t>Kelly.Liang@westpharma.com</t>
  </si>
  <si>
    <t>梁淑萍</t>
    <phoneticPr fontId="2" type="noConversion"/>
  </si>
  <si>
    <t>劉維婷</t>
    <phoneticPr fontId="2" type="noConversion"/>
  </si>
  <si>
    <t>0912-915-203劉'S</t>
    <phoneticPr fontId="2" type="noConversion"/>
  </si>
  <si>
    <t>吳安琪
0918-590-506</t>
    <phoneticPr fontId="2" type="noConversion"/>
  </si>
  <si>
    <t>5F太平洋旅行社</t>
    <phoneticPr fontId="2" type="noConversion"/>
  </si>
  <si>
    <t>lisa@pac-group.net</t>
  </si>
  <si>
    <t>Ivy 唐</t>
    <phoneticPr fontId="2" type="noConversion"/>
  </si>
  <si>
    <t>ivy.tang@pernod-ricard.com</t>
    <phoneticPr fontId="2" type="noConversion"/>
  </si>
  <si>
    <t>14F保樂力加</t>
    <phoneticPr fontId="2" type="noConversion"/>
  </si>
  <si>
    <t>3F</t>
    <phoneticPr fontId="2" type="noConversion"/>
  </si>
  <si>
    <t>0912-915-203</t>
    <phoneticPr fontId="2" type="noConversion"/>
  </si>
  <si>
    <t>鄒鎮陽</t>
    <phoneticPr fontId="2" type="noConversion"/>
  </si>
  <si>
    <t>0916-012-948</t>
    <phoneticPr fontId="2" type="noConversion"/>
  </si>
  <si>
    <t>陳美君</t>
    <phoneticPr fontId="2" type="noConversion"/>
  </si>
  <si>
    <t>0926-207-926</t>
    <phoneticPr fontId="2" type="noConversion"/>
  </si>
  <si>
    <t>陳元瑩</t>
    <phoneticPr fontId="2" type="noConversion"/>
  </si>
  <si>
    <t>0975-188-250</t>
    <phoneticPr fontId="2" type="noConversion"/>
  </si>
  <si>
    <t>周知言</t>
    <phoneticPr fontId="2" type="noConversion"/>
  </si>
  <si>
    <t>0917-547-592</t>
    <phoneticPr fontId="2" type="noConversion"/>
  </si>
  <si>
    <t>中山南京東</t>
    <phoneticPr fontId="2" type="noConversion"/>
  </si>
  <si>
    <t>印尼銀行</t>
    <phoneticPr fontId="2" type="noConversion"/>
  </si>
  <si>
    <t>柯尼萬</t>
    <phoneticPr fontId="2" type="noConversion"/>
  </si>
  <si>
    <t>0909-747-417</t>
    <phoneticPr fontId="2" type="noConversion"/>
  </si>
  <si>
    <t>白坤倪</t>
    <phoneticPr fontId="2" type="noConversion"/>
  </si>
  <si>
    <t>0902-054-142</t>
    <phoneticPr fontId="2" type="noConversion"/>
  </si>
  <si>
    <t>中山南京東國際商務(股)公司</t>
    <phoneticPr fontId="5" type="noConversion"/>
  </si>
  <si>
    <t>0963-045-461</t>
    <phoneticPr fontId="2" type="noConversion"/>
  </si>
  <si>
    <t>鄧介意</t>
    <phoneticPr fontId="2" type="noConversion"/>
  </si>
  <si>
    <t>0975-186-167</t>
    <phoneticPr fontId="2" type="noConversion"/>
  </si>
  <si>
    <t>備註:標示黃底為發生較輕微之狀況不需聯繫之商戶</t>
    <phoneticPr fontId="2" type="noConversion"/>
  </si>
  <si>
    <t>廖彗妤</t>
    <phoneticPr fontId="2" type="noConversion"/>
  </si>
  <si>
    <t>0953-655-686</t>
    <phoneticPr fontId="2" type="noConversion"/>
  </si>
  <si>
    <t>中山南京東國際商務(股)公司</t>
    <phoneticPr fontId="2" type="noConversion"/>
  </si>
  <si>
    <t>中信投資</t>
    <phoneticPr fontId="2" type="noConversion"/>
  </si>
  <si>
    <t>中山南京東商務</t>
    <phoneticPr fontId="2" type="noConversion"/>
  </si>
  <si>
    <t>臺北中山南京東國際商務(股)公司</t>
    <phoneticPr fontId="5" type="noConversion"/>
  </si>
  <si>
    <t>陳郁雯</t>
    <phoneticPr fontId="2" type="noConversion"/>
  </si>
  <si>
    <t>吳嘉敏</t>
    <phoneticPr fontId="2" type="noConversion"/>
  </si>
  <si>
    <t>katniss.wu@interasialine.com </t>
  </si>
  <si>
    <t>#20
#11</t>
    <phoneticPr fontId="5" type="noConversion"/>
  </si>
  <si>
    <t>0912-038-087</t>
    <phoneticPr fontId="2" type="noConversion"/>
  </si>
  <si>
    <t>0981-829-868</t>
    <phoneticPr fontId="2" type="noConversion"/>
  </si>
  <si>
    <t>0902-179-528</t>
    <phoneticPr fontId="2" type="noConversion"/>
  </si>
  <si>
    <t>顏裕雄</t>
    <phoneticPr fontId="2" type="noConversion"/>
  </si>
  <si>
    <t>8F全</t>
    <phoneticPr fontId="5" type="noConversion"/>
  </si>
  <si>
    <t>印尼人民銀行台北分行</t>
  </si>
  <si>
    <t>14F-1</t>
    <phoneticPr fontId="2" type="noConversion"/>
  </si>
  <si>
    <t>湯先生</t>
    <phoneticPr fontId="2" type="noConversion"/>
  </si>
  <si>
    <t>0952-075-738</t>
    <phoneticPr fontId="2" type="noConversion"/>
  </si>
  <si>
    <t>#9</t>
    <phoneticPr fontId="2" type="noConversion"/>
  </si>
  <si>
    <t>A4</t>
    <phoneticPr fontId="2" type="noConversion"/>
  </si>
  <si>
    <t>14F-2</t>
    <phoneticPr fontId="2" type="noConversion"/>
  </si>
  <si>
    <t>銳競廣告行銷有限公司</t>
    <phoneticPr fontId="2" type="noConversion"/>
  </si>
  <si>
    <t>5F-1.2</t>
    <phoneticPr fontId="5" type="noConversion"/>
  </si>
  <si>
    <t>A4.5</t>
    <phoneticPr fontId="2" type="noConversion"/>
  </si>
  <si>
    <t>111.02.25</t>
    <phoneticPr fontId="5" type="noConversion"/>
  </si>
  <si>
    <t>111.03.01</t>
    <phoneticPr fontId="5" type="noConversion"/>
  </si>
  <si>
    <t>10F A3</t>
    <phoneticPr fontId="5" type="noConversion"/>
  </si>
  <si>
    <t>3FA1~A3 
5F A4~A5</t>
    <phoneticPr fontId="2" type="noConversion"/>
  </si>
  <si>
    <t>3F、5F</t>
    <phoneticPr fontId="5" type="noConversion"/>
  </si>
  <si>
    <t>陳瑞媛</t>
    <phoneticPr fontId="5" type="noConversion"/>
  </si>
  <si>
    <t>0913-182-468</t>
    <phoneticPr fontId="5" type="noConversion"/>
  </si>
  <si>
    <t>16F A1~A3-1</t>
    <phoneticPr fontId="8" type="noConversion"/>
  </si>
  <si>
    <t>日商丹下</t>
    <phoneticPr fontId="5" type="noConversion"/>
  </si>
  <si>
    <t>東芝電子</t>
    <phoneticPr fontId="5" type="noConversion"/>
  </si>
  <si>
    <t>日商全日本空輸(股)公司台灣分公司</t>
    <phoneticPr fontId="5" type="noConversion"/>
  </si>
  <si>
    <t>110.12.30</t>
    <phoneticPr fontId="5" type="noConversion"/>
  </si>
  <si>
    <t>中信投資股份有限公司</t>
    <phoneticPr fontId="2" type="noConversion"/>
  </si>
  <si>
    <t>14F中信投資</t>
    <phoneticPr fontId="2" type="noConversion"/>
  </si>
  <si>
    <t>kinkins1@fupin.com.tw</t>
  </si>
  <si>
    <t>主要聯絡人</t>
    <phoneticPr fontId="2" type="noConversion"/>
  </si>
  <si>
    <t>wayni423@gmail.com</t>
    <phoneticPr fontId="2" type="noConversion"/>
  </si>
  <si>
    <t>此為備用信箱</t>
    <phoneticPr fontId="2" type="noConversion"/>
  </si>
  <si>
    <t>備註</t>
    <phoneticPr fontId="2" type="noConversion"/>
  </si>
  <si>
    <t>許瑛玲</t>
    <phoneticPr fontId="2" type="noConversion"/>
  </si>
  <si>
    <t>yulia@ana.co.jp</t>
    <phoneticPr fontId="2" type="noConversion"/>
  </si>
  <si>
    <t>林婉真
楊淳喻</t>
    <phoneticPr fontId="2" type="noConversion"/>
  </si>
  <si>
    <t>#355
#354</t>
    <phoneticPr fontId="5" type="noConversion"/>
  </si>
  <si>
    <t>林婉真</t>
    <phoneticPr fontId="2" type="noConversion"/>
  </si>
  <si>
    <t>anna1.lin@kioxia.com</t>
  </si>
  <si>
    <t>中信投資股份有限公司</t>
    <phoneticPr fontId="5" type="noConversion"/>
  </si>
  <si>
    <t>14F-A5</t>
    <phoneticPr fontId="5" type="noConversion"/>
  </si>
  <si>
    <t>中信投資(股)公司</t>
    <phoneticPr fontId="5" type="noConversion"/>
  </si>
  <si>
    <t>中信投資(股)公司</t>
    <phoneticPr fontId="2" type="noConversion"/>
  </si>
  <si>
    <t>#0136</t>
    <phoneticPr fontId="2" type="noConversion"/>
  </si>
  <si>
    <t>游宏如's</t>
    <phoneticPr fontId="2" type="noConversion"/>
  </si>
  <si>
    <t>1004</t>
    <phoneticPr fontId="2" type="noConversion"/>
  </si>
  <si>
    <r>
      <t>A6</t>
    </r>
    <r>
      <rPr>
        <sz val="14"/>
        <color rgb="FFFF0000"/>
        <rFont val="微軟正黑體"/>
        <family val="2"/>
        <charset val="136"/>
      </rPr>
      <t>(本號)</t>
    </r>
    <phoneticPr fontId="5" type="noConversion"/>
  </si>
  <si>
    <r>
      <t>A5</t>
    </r>
    <r>
      <rPr>
        <sz val="14"/>
        <color rgb="FFFF0000"/>
        <rFont val="微軟正黑體"/>
        <family val="2"/>
        <charset val="136"/>
      </rPr>
      <t>(之1)</t>
    </r>
    <phoneticPr fontId="5" type="noConversion"/>
  </si>
  <si>
    <r>
      <t>A3</t>
    </r>
    <r>
      <rPr>
        <sz val="14"/>
        <color rgb="FFFF0000"/>
        <rFont val="微軟正黑體"/>
        <family val="2"/>
        <charset val="136"/>
      </rPr>
      <t>(之2)</t>
    </r>
    <phoneticPr fontId="2" type="noConversion"/>
  </si>
  <si>
    <r>
      <t>A2</t>
    </r>
    <r>
      <rPr>
        <sz val="14"/>
        <color rgb="FFFF0000"/>
        <rFont val="微軟正黑體"/>
        <family val="2"/>
        <charset val="136"/>
      </rPr>
      <t>(之3)</t>
    </r>
    <phoneticPr fontId="2" type="noConversion"/>
  </si>
  <si>
    <r>
      <t>A1</t>
    </r>
    <r>
      <rPr>
        <sz val="14"/>
        <color rgb="FFFF0000"/>
        <rFont val="微軟正黑體"/>
        <family val="2"/>
        <charset val="136"/>
      </rPr>
      <t>(之5)</t>
    </r>
    <phoneticPr fontId="5" type="noConversion"/>
  </si>
  <si>
    <t xml:space="preserve"> Emily-Huang@marubeni.com</t>
  </si>
  <si>
    <t>mikilee@marubeni-cks.com.tw</t>
  </si>
  <si>
    <t>李小姐Miki</t>
    <phoneticPr fontId="2" type="noConversion"/>
  </si>
  <si>
    <t>黃舜莉Emily</t>
    <phoneticPr fontId="2" type="noConversion"/>
  </si>
  <si>
    <t>Kelly-tsai@marubeni.com</t>
  </si>
  <si>
    <t>蔡小姐Kelly</t>
    <phoneticPr fontId="2" type="noConversion"/>
  </si>
  <si>
    <t>公告一併寄送</t>
    <phoneticPr fontId="2" type="noConversion"/>
  </si>
  <si>
    <t>0981-903-201</t>
    <phoneticPr fontId="2" type="noConversion"/>
  </si>
  <si>
    <t>陳炯樵</t>
    <phoneticPr fontId="2" type="noConversion"/>
  </si>
  <si>
    <t>0975-605-288</t>
    <phoneticPr fontId="2" type="noConversion"/>
  </si>
  <si>
    <t xml:space="preserve"> </t>
    <phoneticPr fontId="2" type="noConversion"/>
  </si>
  <si>
    <t>北陸能源</t>
    <phoneticPr fontId="5" type="noConversion"/>
  </si>
  <si>
    <t>1405~
1407</t>
    <phoneticPr fontId="2" type="noConversion"/>
  </si>
  <si>
    <t>星暘能源(股)公司</t>
    <phoneticPr fontId="2" type="noConversion"/>
  </si>
  <si>
    <t>主要聯絡人(總務主管)</t>
    <phoneticPr fontId="2" type="noConversion"/>
  </si>
  <si>
    <t>上下班時間</t>
    <phoneticPr fontId="5" type="noConversion"/>
  </si>
  <si>
    <t>09-18；或
0930-1830</t>
    <phoneticPr fontId="5" type="noConversion"/>
  </si>
  <si>
    <t>0900-1800</t>
    <phoneticPr fontId="5" type="noConversion"/>
  </si>
  <si>
    <t>0830-1700</t>
    <phoneticPr fontId="5" type="noConversion"/>
  </si>
  <si>
    <t>巫小姐</t>
    <phoneticPr fontId="2" type="noConversion"/>
  </si>
  <si>
    <t>王曉蘭</t>
    <phoneticPr fontId="2" type="noConversion"/>
  </si>
  <si>
    <t>9F星暘能源</t>
    <phoneticPr fontId="2" type="noConversion"/>
  </si>
  <si>
    <t>nita.wang@asterrenewable.com</t>
  </si>
  <si>
    <t>台灣丸紅</t>
    <phoneticPr fontId="5" type="noConversion"/>
  </si>
  <si>
    <t>安士克</t>
    <phoneticPr fontId="2" type="noConversion"/>
  </si>
  <si>
    <t>北陸能源</t>
    <phoneticPr fontId="2" type="noConversion"/>
  </si>
  <si>
    <t>商務中心</t>
    <phoneticPr fontId="5" type="noConversion"/>
  </si>
  <si>
    <t>黃耀賢</t>
    <phoneticPr fontId="2" type="noConversion"/>
  </si>
  <si>
    <t>02-7751-6626</t>
    <phoneticPr fontId="2" type="noConversion"/>
  </si>
  <si>
    <t>台灣鎧俠股份有限公司</t>
    <phoneticPr fontId="5" type="noConversion"/>
  </si>
  <si>
    <t>周韋君</t>
    <phoneticPr fontId="2" type="noConversion"/>
  </si>
  <si>
    <t>0952-183-661</t>
    <phoneticPr fontId="2" type="noConversion"/>
  </si>
  <si>
    <t>吳欣薇</t>
    <phoneticPr fontId="5" type="noConversion"/>
  </si>
  <si>
    <t>0905-701-712</t>
    <phoneticPr fontId="5" type="noConversion"/>
  </si>
  <si>
    <t>14F-3.5.6</t>
    <phoneticPr fontId="5" type="noConversion"/>
  </si>
  <si>
    <t>0983-179-793</t>
    <phoneticPr fontId="5" type="noConversion"/>
  </si>
  <si>
    <r>
      <t>海科科技</t>
    </r>
    <r>
      <rPr>
        <sz val="13"/>
        <color rgb="FFFF0000"/>
        <rFont val="微軟正黑體"/>
        <family val="2"/>
        <charset val="136"/>
      </rPr>
      <t>(24H)</t>
    </r>
    <phoneticPr fontId="2" type="noConversion"/>
  </si>
  <si>
    <t>1FA1、2F、15F</t>
    <phoneticPr fontId="2" type="noConversion"/>
  </si>
  <si>
    <t>銳競廣告行銷有限公司</t>
  </si>
  <si>
    <t>17F更新處</t>
    <phoneticPr fontId="2" type="noConversion"/>
  </si>
  <si>
    <t>18F都發局</t>
    <phoneticPr fontId="2" type="noConversion"/>
  </si>
  <si>
    <t>16F台灣丸紅(股)公司</t>
    <phoneticPr fontId="2" type="noConversion"/>
  </si>
  <si>
    <t>5F台灣白石鑽石</t>
    <phoneticPr fontId="2" type="noConversion"/>
  </si>
  <si>
    <t>wu-yic@nsk.com</t>
    <phoneticPr fontId="2" type="noConversion"/>
  </si>
  <si>
    <t>日商丹下都市建築設計(股)公司</t>
    <phoneticPr fontId="5" type="noConversion"/>
  </si>
  <si>
    <t>9FA6-1</t>
    <phoneticPr fontId="5" type="noConversion"/>
  </si>
  <si>
    <t>1、2F</t>
    <phoneticPr fontId="5" type="noConversion"/>
  </si>
  <si>
    <t>170號.2F</t>
    <phoneticPr fontId="5" type="noConversion"/>
  </si>
  <si>
    <t>臺北中山南京東國際商務(股)公司
(雷格斯企業)</t>
    <phoneticPr fontId="5" type="noConversion"/>
  </si>
  <si>
    <t>0981-903-201林's
0928-038-151楊's</t>
    <phoneticPr fontId="2" type="noConversion"/>
  </si>
  <si>
    <t>0961-362-530</t>
    <phoneticPr fontId="2" type="noConversion"/>
  </si>
  <si>
    <t xml:space="preserve">吳嘉敏
陳郁雯 </t>
    <phoneticPr fontId="2" type="noConversion"/>
  </si>
  <si>
    <t>#5523
#5521</t>
    <phoneticPr fontId="2" type="noConversion"/>
  </si>
  <si>
    <t>0961-362-530  
0983-179-793</t>
    <phoneticPr fontId="2" type="noConversion"/>
  </si>
  <si>
    <t>2173-5600
曾"S(櫃檯)</t>
    <phoneticPr fontId="5" type="noConversion"/>
  </si>
  <si>
    <t>0958-604-158</t>
  </si>
  <si>
    <t>A2.3</t>
    <phoneticPr fontId="5" type="noConversion"/>
  </si>
  <si>
    <t>0952-038-660</t>
    <phoneticPr fontId="2" type="noConversion"/>
  </si>
  <si>
    <t>0981-829-868
0952-038-660</t>
    <phoneticPr fontId="2" type="noConversion"/>
  </si>
  <si>
    <t>Nancy</t>
    <phoneticPr fontId="2" type="noConversion"/>
  </si>
  <si>
    <t>Nancy專線
02-7751-6621</t>
    <phoneticPr fontId="2" type="noConversion"/>
  </si>
  <si>
    <t>111.12.30</t>
    <phoneticPr fontId="5" type="noConversion"/>
  </si>
  <si>
    <t>藝啟股份有限公司</t>
    <phoneticPr fontId="2" type="noConversion"/>
  </si>
  <si>
    <t>藝啟股份有限公司</t>
    <phoneticPr fontId="5" type="noConversion"/>
  </si>
  <si>
    <t>岳宇玲(櫃檯)#9</t>
    <phoneticPr fontId="5" type="noConversion"/>
  </si>
  <si>
    <t xml:space="preserve"> 徐'S(信件) #5999</t>
    <phoneticPr fontId="2" type="noConversion"/>
  </si>
  <si>
    <t>藝啟</t>
    <phoneticPr fontId="2" type="noConversion"/>
  </si>
  <si>
    <t>達斯萊 李小姐
0987-430-281</t>
    <phoneticPr fontId="2" type="noConversion"/>
  </si>
  <si>
    <t>資訊軟體服務業</t>
    <phoneticPr fontId="5" type="noConversion"/>
  </si>
  <si>
    <t>nancy.shen@tw.fujikura.com</t>
  </si>
  <si>
    <t>謝曜宇Robert</t>
  </si>
  <si>
    <t>Robert.hsieh@pernod-ricard.com</t>
  </si>
  <si>
    <t>葉馨</t>
  </si>
  <si>
    <t>yeh-hsin@marubeni.com</t>
  </si>
  <si>
    <t>bg1935@gov.taipei</t>
  </si>
  <si>
    <t>udd-wang1@gov.taipei</t>
  </si>
  <si>
    <t>19F藝啟</t>
    <phoneticPr fontId="2" type="noConversion"/>
  </si>
  <si>
    <t>9F.11F</t>
    <phoneticPr fontId="2" type="noConversion"/>
  </si>
  <si>
    <t>11F.13F</t>
    <phoneticPr fontId="5" type="noConversion"/>
  </si>
  <si>
    <t>台灣鎧俠</t>
    <phoneticPr fontId="5" type="noConversion"/>
  </si>
  <si>
    <t>宋文玉</t>
    <phoneticPr fontId="2" type="noConversion"/>
  </si>
  <si>
    <t>0939-559-353</t>
    <phoneticPr fontId="2" type="noConversion"/>
  </si>
  <si>
    <t>吳靜敏</t>
    <phoneticPr fontId="2" type="noConversion"/>
  </si>
  <si>
    <t>0958-271-620</t>
    <phoneticPr fontId="2" type="noConversion"/>
  </si>
  <si>
    <t>0958-367-791</t>
    <phoneticPr fontId="2" type="noConversion"/>
  </si>
  <si>
    <t>湯鈞驊</t>
  </si>
  <si>
    <t>陳文婷Sylvia</t>
    <phoneticPr fontId="2" type="noConversion"/>
  </si>
  <si>
    <t>Sylvia.Chen@hailongoffshorewind.com</t>
  </si>
  <si>
    <t>方采蓁</t>
    <phoneticPr fontId="2" type="noConversion"/>
  </si>
  <si>
    <t>0918-204-221</t>
    <phoneticPr fontId="2" type="noConversion"/>
  </si>
  <si>
    <t>胡莞立</t>
    <phoneticPr fontId="2" type="noConversion"/>
  </si>
  <si>
    <t>0975-321-363</t>
    <phoneticPr fontId="2" type="noConversion"/>
  </si>
  <si>
    <t>劉又瑄</t>
    <phoneticPr fontId="2" type="noConversion"/>
  </si>
  <si>
    <t>0935-121-584</t>
    <phoneticPr fontId="2" type="noConversion"/>
  </si>
  <si>
    <t>#726
#720</t>
    <phoneticPr fontId="2" type="noConversion"/>
  </si>
  <si>
    <t>0975-321-363
0918-204-221</t>
    <phoneticPr fontId="2" type="noConversion"/>
  </si>
  <si>
    <t>胡莞立Lili
方采蓁Miffy</t>
    <phoneticPr fontId="2" type="noConversion"/>
  </si>
  <si>
    <t>劉又瑄(總機)</t>
    <phoneticPr fontId="2" type="noConversion"/>
  </si>
  <si>
    <t>20F 全</t>
    <phoneticPr fontId="5" type="noConversion"/>
  </si>
  <si>
    <t>miffy@17.media</t>
    <phoneticPr fontId="2" type="noConversion"/>
  </si>
  <si>
    <t>lilihu@17.media</t>
    <phoneticPr fontId="2" type="noConversion"/>
  </si>
  <si>
    <t>arie.1@17.media</t>
    <phoneticPr fontId="2" type="noConversion"/>
  </si>
  <si>
    <t>總務-洪立雯</t>
    <phoneticPr fontId="2" type="noConversion"/>
  </si>
  <si>
    <t>hong.liwun@segataiwan.com.tw</t>
  </si>
  <si>
    <t>公司公用信箱</t>
    <phoneticPr fontId="2" type="noConversion"/>
  </si>
  <si>
    <t>joyce.gu@westpharma.com</t>
  </si>
  <si>
    <t>古小姐</t>
    <phoneticPr fontId="2" type="noConversion"/>
  </si>
  <si>
    <t>karen.chang@asterrenewable.com</t>
  </si>
  <si>
    <t>Karen</t>
    <phoneticPr fontId="2" type="noConversion"/>
  </si>
  <si>
    <t>商戶緊急聯絡電話表</t>
    <phoneticPr fontId="14" type="noConversion"/>
  </si>
  <si>
    <t>112/03/30</t>
    <phoneticPr fontId="2" type="noConversion"/>
  </si>
  <si>
    <t>1006</t>
    <phoneticPr fontId="2" type="noConversion"/>
  </si>
  <si>
    <t>10F-5</t>
    <phoneticPr fontId="2" type="noConversion"/>
  </si>
  <si>
    <t>10F-6</t>
    <phoneticPr fontId="5" type="noConversion"/>
  </si>
  <si>
    <t>1007</t>
    <phoneticPr fontId="2" type="noConversion"/>
  </si>
  <si>
    <t>台灣北陸能源發展(股)公司</t>
    <phoneticPr fontId="2" type="noConversion"/>
  </si>
  <si>
    <t>陳瑞媛Rena</t>
    <phoneticPr fontId="5" type="noConversion"/>
  </si>
  <si>
    <t>20F</t>
    <phoneticPr fontId="2" type="noConversion"/>
  </si>
  <si>
    <t>10F A1</t>
    <phoneticPr fontId="2" type="noConversion"/>
  </si>
  <si>
    <r>
      <t xml:space="preserve">112 年 </t>
    </r>
    <r>
      <rPr>
        <u/>
        <sz val="18"/>
        <rFont val="微軟正黑體"/>
        <family val="2"/>
        <charset val="136"/>
      </rPr>
      <t xml:space="preserve">                    </t>
    </r>
    <r>
      <rPr>
        <sz val="18"/>
        <rFont val="微軟正黑體"/>
        <family val="2"/>
        <charset val="136"/>
      </rPr>
      <t>簽收表</t>
    </r>
    <phoneticPr fontId="5" type="noConversion"/>
  </si>
  <si>
    <t>1007</t>
    <phoneticPr fontId="5" type="noConversion"/>
  </si>
  <si>
    <t>1006</t>
    <phoneticPr fontId="5" type="noConversion"/>
  </si>
  <si>
    <t>112.06.01</t>
    <phoneticPr fontId="5" type="noConversion"/>
  </si>
  <si>
    <t>公司國別</t>
    <phoneticPr fontId="5" type="noConversion"/>
  </si>
  <si>
    <t>資訊及通訊設備零售業</t>
    <phoneticPr fontId="5" type="noConversion"/>
  </si>
  <si>
    <t>宏盛國際金融中心-各商戶 產業/人數表</t>
    <phoneticPr fontId="5" type="noConversion"/>
  </si>
  <si>
    <t>商戶</t>
    <phoneticPr fontId="5" type="noConversion"/>
  </si>
  <si>
    <t>宏盛國際金融中心 商戶明細</t>
    <phoneticPr fontId="3" type="noConversion"/>
  </si>
  <si>
    <t>電子業</t>
    <phoneticPr fontId="5" type="noConversion"/>
  </si>
  <si>
    <t>台灣/日本</t>
    <phoneticPr fontId="5" type="noConversion"/>
  </si>
  <si>
    <t>日本</t>
    <phoneticPr fontId="5" type="noConversion"/>
  </si>
  <si>
    <t>電子零組件買賣</t>
  </si>
  <si>
    <t>軟體資訊</t>
    <phoneticPr fontId="5" type="noConversion"/>
  </si>
  <si>
    <t>批發貿易</t>
    <phoneticPr fontId="5" type="noConversion"/>
  </si>
  <si>
    <t>精密機器汽車零件貿易</t>
    <phoneticPr fontId="2" type="noConversion"/>
  </si>
  <si>
    <t>網路科技娛樂業</t>
    <phoneticPr fontId="5" type="noConversion"/>
  </si>
  <si>
    <t>零售批發業</t>
    <phoneticPr fontId="5" type="noConversion"/>
  </si>
  <si>
    <t>法國</t>
    <phoneticPr fontId="5" type="noConversion"/>
  </si>
  <si>
    <t>14FA4</t>
    <phoneticPr fontId="5" type="noConversion"/>
  </si>
  <si>
    <t>加拿大</t>
    <phoneticPr fontId="5" type="noConversion"/>
  </si>
  <si>
    <t>大陸商廈門航空有限公司(台灣分公司)</t>
    <phoneticPr fontId="5" type="noConversion"/>
  </si>
  <si>
    <t>辰亞能源(股)公司</t>
    <phoneticPr fontId="5" type="noConversion"/>
  </si>
  <si>
    <t>藤倉商事株式會社</t>
    <phoneticPr fontId="5" type="noConversion"/>
  </si>
  <si>
    <t>投資</t>
    <phoneticPr fontId="5" type="noConversion"/>
  </si>
  <si>
    <t>公家機關</t>
    <phoneticPr fontId="5" type="noConversion"/>
  </si>
  <si>
    <t>古小姐(財務)
梁淑萍(經理)</t>
    <phoneticPr fontId="5" type="noConversion"/>
  </si>
  <si>
    <t>台灣</t>
    <phoneticPr fontId="5" type="noConversion"/>
  </si>
  <si>
    <t>#721
#722</t>
    <phoneticPr fontId="5" type="noConversion"/>
  </si>
  <si>
    <t>華敦國際</t>
    <phoneticPr fontId="2" type="noConversion"/>
  </si>
  <si>
    <t>英屬維京群島商華敦國際有限公司台灣分公司</t>
    <phoneticPr fontId="2" type="noConversion"/>
  </si>
  <si>
    <t>英屬維京群島商華敦國際有限公司台灣分公司</t>
    <phoneticPr fontId="5" type="noConversion"/>
  </si>
  <si>
    <t>三井物產綠電股份有限公司</t>
    <phoneticPr fontId="5" type="noConversion"/>
  </si>
  <si>
    <t>112.05.31</t>
    <phoneticPr fontId="5" type="noConversion"/>
  </si>
  <si>
    <t>三井物產綠電股份有限公司</t>
    <phoneticPr fontId="2" type="noConversion"/>
  </si>
  <si>
    <t>三井物產</t>
    <phoneticPr fontId="2" type="noConversion"/>
  </si>
  <si>
    <t>10FA2</t>
    <phoneticPr fontId="5" type="noConversion"/>
  </si>
  <si>
    <t>A1</t>
    <phoneticPr fontId="2" type="noConversion"/>
  </si>
  <si>
    <t>林軒名</t>
  </si>
  <si>
    <t>李維珊</t>
  </si>
  <si>
    <t>0958-078-522</t>
    <phoneticPr fontId="2" type="noConversion"/>
  </si>
  <si>
    <t>0910-310-709</t>
    <phoneticPr fontId="2" type="noConversion"/>
  </si>
  <si>
    <t>黃怡靜</t>
    <phoneticPr fontId="2" type="noConversion"/>
  </si>
  <si>
    <t>王'S專線
02-7732-8982</t>
    <phoneticPr fontId="2" type="noConversion"/>
  </si>
  <si>
    <t>羅毓瑩</t>
    <phoneticPr fontId="2" type="noConversion"/>
  </si>
  <si>
    <t>0910-780-099</t>
    <phoneticPr fontId="2" type="noConversion"/>
  </si>
  <si>
    <t>智行數位行銷有限公司</t>
  </si>
  <si>
    <t>智行數位行銷有限公司</t>
    <phoneticPr fontId="5" type="noConversion"/>
  </si>
  <si>
    <t>智行數位</t>
    <phoneticPr fontId="2" type="noConversion"/>
  </si>
  <si>
    <t>11F世雅育樂</t>
    <phoneticPr fontId="2" type="noConversion"/>
  </si>
  <si>
    <t>0920-403-212</t>
    <phoneticPr fontId="2" type="noConversion"/>
  </si>
  <si>
    <t>杉島毅</t>
  </si>
  <si>
    <t>0912-177-875</t>
    <phoneticPr fontId="2" type="noConversion"/>
  </si>
  <si>
    <t>0928-585-882
Linda羅</t>
    <phoneticPr fontId="2" type="noConversion"/>
  </si>
  <si>
    <t>0928-585-882</t>
    <phoneticPr fontId="2" type="noConversion"/>
  </si>
  <si>
    <r>
      <t>藝啟</t>
    </r>
    <r>
      <rPr>
        <sz val="13"/>
        <color rgb="FFFF0000"/>
        <rFont val="微軟正黑體"/>
        <family val="2"/>
        <charset val="136"/>
      </rPr>
      <t>(10F.24H)</t>
    </r>
    <phoneticPr fontId="2" type="noConversion"/>
  </si>
  <si>
    <t>能源技術服務業</t>
    <phoneticPr fontId="5" type="noConversion"/>
  </si>
  <si>
    <t>0965-095-718</t>
    <phoneticPr fontId="2" type="noConversion"/>
  </si>
  <si>
    <t>黃昱綺</t>
    <phoneticPr fontId="2" type="noConversion"/>
  </si>
  <si>
    <t>Linda</t>
    <phoneticPr fontId="2" type="noConversion"/>
  </si>
  <si>
    <t xml:space="preserve">6F:105.10.01
</t>
    <phoneticPr fontId="5" type="noConversion"/>
  </si>
  <si>
    <t>7F</t>
    <phoneticPr fontId="2" type="noConversion"/>
  </si>
  <si>
    <t>6F</t>
    <phoneticPr fontId="8" type="noConversion"/>
  </si>
  <si>
    <t>6F</t>
    <phoneticPr fontId="2" type="noConversion"/>
  </si>
  <si>
    <t>掌中乾坤網路科技(股)公司
創連科技有限公司</t>
    <phoneticPr fontId="5" type="noConversion"/>
  </si>
  <si>
    <t>海龍二號、三號風電(股)公司</t>
    <phoneticPr fontId="5" type="noConversion"/>
  </si>
  <si>
    <t>海龍二號、三號風電(股)公司</t>
    <phoneticPr fontId="2" type="noConversion"/>
  </si>
  <si>
    <t>天域科技</t>
    <phoneticPr fontId="2" type="noConversion"/>
  </si>
  <si>
    <t>海龍二、三號風電</t>
    <phoneticPr fontId="2" type="noConversion"/>
  </si>
  <si>
    <t>107.10.01
艾巨轉天域:110.04.01</t>
    <phoneticPr fontId="5" type="noConversion"/>
  </si>
  <si>
    <t>台灣天域科技(股)公司</t>
    <phoneticPr fontId="5" type="noConversion"/>
  </si>
  <si>
    <t>台灣天域科技股份有限公司</t>
    <phoneticPr fontId="5" type="noConversion"/>
  </si>
  <si>
    <t>印尼人民銀台北分行</t>
    <phoneticPr fontId="5" type="noConversion"/>
  </si>
  <si>
    <t>盧'S#308</t>
    <phoneticPr fontId="2" type="noConversion"/>
  </si>
  <si>
    <t>#11
#20</t>
    <phoneticPr fontId="2" type="noConversion"/>
  </si>
  <si>
    <t>海龍二號、三號風電(股)公司
台灣北陸能源發展(股)公司</t>
    <phoneticPr fontId="5" type="noConversion"/>
  </si>
  <si>
    <t>13F-5
13F-3</t>
    <phoneticPr fontId="5" type="noConversion"/>
  </si>
  <si>
    <t>13F-2</t>
    <phoneticPr fontId="2" type="noConversion"/>
  </si>
  <si>
    <t>1306~
1307</t>
    <phoneticPr fontId="2" type="noConversion"/>
  </si>
  <si>
    <t>集誠資本</t>
    <phoneticPr fontId="2" type="noConversion"/>
  </si>
  <si>
    <t>7F:112.09.28
 原租11FA5、13FA1-A3、A6之1
點回日:112.11.09</t>
    <phoneticPr fontId="5" type="noConversion"/>
  </si>
  <si>
    <t>111.02.25
 112.11.15由銳競改智行</t>
    <phoneticPr fontId="5" type="noConversion"/>
  </si>
  <si>
    <t>112.11.15</t>
    <phoneticPr fontId="5" type="noConversion"/>
  </si>
  <si>
    <t>1004</t>
    <phoneticPr fontId="5" type="noConversion"/>
  </si>
  <si>
    <t>112.04.01</t>
    <phoneticPr fontId="5" type="noConversion"/>
  </si>
  <si>
    <t>集誠資本台灣股份有限公司</t>
  </si>
  <si>
    <t>集誠資本台灣股份有限公司</t>
    <phoneticPr fontId="2" type="noConversion"/>
  </si>
  <si>
    <t>112.11.16</t>
    <phoneticPr fontId="5" type="noConversion"/>
  </si>
  <si>
    <t>多聯科技股份有限公司</t>
  </si>
  <si>
    <t>集誠資本台灣股份有限公司</t>
    <phoneticPr fontId="5" type="noConversion"/>
  </si>
  <si>
    <t>多聯科技股份有限公司</t>
    <phoneticPr fontId="5" type="noConversion"/>
  </si>
  <si>
    <t>台灣長瀨股份有限公司</t>
  </si>
  <si>
    <t>許小姐(窗口)</t>
    <phoneticPr fontId="2" type="noConversion"/>
  </si>
  <si>
    <t>0989-784-043</t>
    <phoneticPr fontId="2" type="noConversion"/>
  </si>
  <si>
    <t>張芳綾(財務)</t>
    <phoneticPr fontId="2" type="noConversion"/>
  </si>
  <si>
    <t>多聯科技</t>
    <phoneticPr fontId="2" type="noConversion"/>
  </si>
  <si>
    <t xml:space="preserve">A1-A2
</t>
    <phoneticPr fontId="5" type="noConversion"/>
  </si>
  <si>
    <t>台灣長瀨股份有限公司</t>
    <phoneticPr fontId="5" type="noConversion"/>
  </si>
  <si>
    <t>112.11.30</t>
    <phoneticPr fontId="5" type="noConversion"/>
  </si>
  <si>
    <t>13F-2</t>
    <phoneticPr fontId="5" type="noConversion"/>
  </si>
  <si>
    <t>1306~
1307</t>
    <phoneticPr fontId="5" type="noConversion"/>
  </si>
  <si>
    <t>112.12.01</t>
    <phoneticPr fontId="5" type="noConversion"/>
  </si>
  <si>
    <t>13FA3</t>
    <phoneticPr fontId="5" type="noConversion"/>
  </si>
  <si>
    <t>A1-A2</t>
    <phoneticPr fontId="2" type="noConversion"/>
  </si>
  <si>
    <t>台灣長瀨</t>
    <phoneticPr fontId="2" type="noConversion"/>
  </si>
  <si>
    <t>0965-095-717古s
0965-095-702梁s</t>
    <phoneticPr fontId="2" type="noConversion"/>
  </si>
  <si>
    <t>#618</t>
    <phoneticPr fontId="2" type="noConversion"/>
  </si>
  <si>
    <t>張芳綾</t>
    <phoneticPr fontId="2" type="noConversion"/>
  </si>
  <si>
    <t>0912-110-288</t>
    <phoneticPr fontId="2" type="noConversion"/>
  </si>
  <si>
    <t>李美瑤</t>
    <phoneticPr fontId="2" type="noConversion"/>
  </si>
  <si>
    <t>0920-015-887</t>
    <phoneticPr fontId="2" type="noConversion"/>
  </si>
  <si>
    <t>羅云遙</t>
    <phoneticPr fontId="2" type="noConversion"/>
  </si>
  <si>
    <t>0919-207-390</t>
    <phoneticPr fontId="2" type="noConversion"/>
  </si>
  <si>
    <t>11F</t>
    <phoneticPr fontId="5" type="noConversion"/>
  </si>
  <si>
    <t>A6</t>
    <phoneticPr fontId="5" type="noConversion"/>
  </si>
  <si>
    <t>集誠資本</t>
    <phoneticPr fontId="5" type="noConversion"/>
  </si>
  <si>
    <t>#304</t>
    <phoneticPr fontId="2" type="noConversion"/>
  </si>
  <si>
    <t>#281</t>
    <phoneticPr fontId="2" type="noConversion"/>
  </si>
  <si>
    <t>蔡雨璇</t>
    <phoneticPr fontId="2" type="noConversion"/>
  </si>
  <si>
    <t>許瀞鎂</t>
    <phoneticPr fontId="2" type="noConversion"/>
  </si>
  <si>
    <t>0901-322-126</t>
    <phoneticPr fontId="2" type="noConversion"/>
  </si>
  <si>
    <t>葉小姐</t>
    <phoneticPr fontId="2" type="noConversion"/>
  </si>
  <si>
    <t>0917-687-894</t>
    <phoneticPr fontId="2" type="noConversion"/>
  </si>
  <si>
    <t>Nikki Chu</t>
  </si>
  <si>
    <t>0900-841-601</t>
  </si>
  <si>
    <t>0900-841-671</t>
  </si>
  <si>
    <t>楊先生</t>
    <phoneticPr fontId="5" type="noConversion"/>
  </si>
  <si>
    <t>0918-428-303</t>
    <phoneticPr fontId="2" type="noConversion"/>
  </si>
  <si>
    <t>0968-275-201</t>
    <phoneticPr fontId="2" type="noConversion"/>
  </si>
  <si>
    <t>KARIN</t>
    <phoneticPr fontId="2" type="noConversion"/>
  </si>
  <si>
    <t>0988-002-057</t>
    <phoneticPr fontId="2" type="noConversion"/>
  </si>
  <si>
    <t>JIM</t>
    <phoneticPr fontId="2" type="noConversion"/>
  </si>
  <si>
    <t>0975-287-988</t>
    <phoneticPr fontId="2" type="noConversion"/>
  </si>
  <si>
    <t>吳淑華(協理)#23
0933-078-561</t>
    <phoneticPr fontId="2" type="noConversion"/>
  </si>
  <si>
    <t>李盈盈</t>
    <phoneticPr fontId="2" type="noConversion"/>
  </si>
  <si>
    <t>初小姐Nikki</t>
    <phoneticPr fontId="2" type="noConversion"/>
  </si>
  <si>
    <t>0900-841-601</t>
    <phoneticPr fontId="2" type="noConversion"/>
  </si>
  <si>
    <t>美祿科技(股)公司</t>
  </si>
  <si>
    <t xml:space="preserve"> 037-582-728 </t>
    <phoneticPr fontId="2" type="noConversion"/>
  </si>
  <si>
    <t>李怡亭</t>
    <phoneticPr fontId="2" type="noConversion"/>
  </si>
  <si>
    <t>#1105</t>
    <phoneticPr fontId="2" type="noConversion"/>
  </si>
  <si>
    <t>美祿科技(股)公司</t>
    <phoneticPr fontId="5" type="noConversion"/>
  </si>
  <si>
    <t>113.04.30</t>
    <phoneticPr fontId="5" type="noConversion"/>
  </si>
  <si>
    <t>美祿科技</t>
    <phoneticPr fontId="2" type="noConversion"/>
  </si>
  <si>
    <t>5F A6-1</t>
    <phoneticPr fontId="5" type="noConversion"/>
  </si>
  <si>
    <t>A6 
A6-1</t>
    <phoneticPr fontId="5" type="noConversion"/>
  </si>
  <si>
    <t>14F-1
 14F</t>
    <phoneticPr fontId="5" type="noConversion"/>
  </si>
  <si>
    <t>1402
 1401</t>
    <phoneticPr fontId="5" type="noConversion"/>
  </si>
  <si>
    <t>110.05.04 
14F、 A6-1:113.05.15</t>
    <phoneticPr fontId="5" type="noConversion"/>
  </si>
  <si>
    <t>0922-225-005</t>
  </si>
  <si>
    <t>0922-225-005</t>
    <phoneticPr fontId="2" type="noConversion"/>
  </si>
  <si>
    <t>5F</t>
    <phoneticPr fontId="2" type="noConversion"/>
  </si>
  <si>
    <t>A6-1</t>
    <phoneticPr fontId="2" type="noConversion"/>
  </si>
  <si>
    <t>美祿科技</t>
    <phoneticPr fontId="2" type="noConversion"/>
  </si>
  <si>
    <t>李怡亭</t>
    <phoneticPr fontId="2" type="noConversion"/>
  </si>
  <si>
    <t>電子零件批發業</t>
    <phoneticPr fontId="5" type="noConversion"/>
  </si>
  <si>
    <t>日鐵物產</t>
    <phoneticPr fontId="2" type="noConversion"/>
  </si>
  <si>
    <t>劉家芳</t>
    <phoneticPr fontId="2" type="noConversion"/>
  </si>
  <si>
    <t>台灣日鐵物產(股)公司</t>
    <phoneticPr fontId="5" type="noConversion"/>
  </si>
  <si>
    <t>113.07.01</t>
    <phoneticPr fontId="5" type="noConversion"/>
  </si>
  <si>
    <t>112.11.16</t>
  </si>
  <si>
    <t>台灣日鐵物產(股)公司</t>
    <phoneticPr fontId="2" type="noConversion"/>
  </si>
  <si>
    <t>#115</t>
    <phoneticPr fontId="2" type="noConversion"/>
  </si>
  <si>
    <t>13FA6</t>
    <phoneticPr fontId="5" type="noConversion"/>
  </si>
  <si>
    <t>吳迪
蘇栴</t>
    <phoneticPr fontId="2" type="noConversion"/>
  </si>
  <si>
    <t>蘇栴</t>
    <phoneticPr fontId="2" type="noConversion"/>
  </si>
  <si>
    <t>周小姐(窗口)
Kate(財務)</t>
    <phoneticPr fontId="2" type="noConversion"/>
  </si>
  <si>
    <t>#29
#25</t>
    <phoneticPr fontId="2" type="noConversion"/>
  </si>
  <si>
    <t>吳亞潔</t>
    <phoneticPr fontId="2" type="noConversion"/>
  </si>
  <si>
    <t>0956-767-391</t>
    <phoneticPr fontId="2" type="noConversion"/>
  </si>
  <si>
    <t>李佳穎</t>
    <phoneticPr fontId="2" type="noConversion"/>
  </si>
  <si>
    <t>0920-611-869</t>
    <phoneticPr fontId="2" type="noConversion"/>
  </si>
  <si>
    <t>稻積和典</t>
    <phoneticPr fontId="2" type="noConversion"/>
  </si>
  <si>
    <t>0978-089-611</t>
    <phoneticPr fontId="2" type="noConversion"/>
  </si>
  <si>
    <t>王's手機
 0921-045-212</t>
    <phoneticPr fontId="2" type="noConversion"/>
  </si>
  <si>
    <r>
      <t xml:space="preserve">#058
</t>
    </r>
    <r>
      <rPr>
        <sz val="18"/>
        <rFont val="微軟正黑體"/>
        <family val="2"/>
        <charset val="136"/>
      </rPr>
      <t>(林小姐)</t>
    </r>
    <phoneticPr fontId="2" type="noConversion"/>
  </si>
  <si>
    <t>候'R(人資)#726</t>
    <phoneticPr fontId="2" type="noConversion"/>
  </si>
  <si>
    <t>彭景宸#9
藍小姐#1681</t>
    <phoneticPr fontId="5" type="noConversion"/>
  </si>
  <si>
    <t>李小姐</t>
    <phoneticPr fontId="2" type="noConversion"/>
  </si>
  <si>
    <t>0955-458-828</t>
  </si>
  <si>
    <t>朱美憓</t>
  </si>
  <si>
    <t>0972-872-073</t>
  </si>
  <si>
    <t>杉本健介</t>
  </si>
  <si>
    <t>0905-920-103</t>
  </si>
  <si>
    <t>朱美憓(財務)#113</t>
    <phoneticPr fontId="2" type="noConversion"/>
  </si>
  <si>
    <t>英商萊特</t>
    <phoneticPr fontId="2" type="noConversion"/>
  </si>
  <si>
    <t>英商萊特再生能源顧問有限公司台灣分公司</t>
    <phoneticPr fontId="5" type="noConversion"/>
  </si>
  <si>
    <t>113.8.29</t>
    <phoneticPr fontId="5" type="noConversion"/>
  </si>
  <si>
    <r>
      <rPr>
        <u/>
        <sz val="16"/>
        <rFont val="微軟正黑體"/>
        <family val="2"/>
        <charset val="136"/>
      </rPr>
      <t xml:space="preserve">飛瑞: 8161-3415
</t>
    </r>
    <r>
      <rPr>
        <sz val="16"/>
        <rFont val="微軟正黑體"/>
        <family val="2"/>
        <charset val="136"/>
      </rPr>
      <t>飛達: 8161-3454</t>
    </r>
    <phoneticPr fontId="2" type="noConversion"/>
  </si>
  <si>
    <t>11F-A6-1</t>
    <phoneticPr fontId="5" type="noConversion"/>
  </si>
  <si>
    <t>7723-8855</t>
    <phoneticPr fontId="5" type="noConversion"/>
  </si>
  <si>
    <t>2341-1580</t>
    <phoneticPr fontId="2" type="noConversion"/>
  </si>
  <si>
    <t>2327-8989</t>
    <phoneticPr fontId="2" type="noConversion"/>
  </si>
  <si>
    <t>2771-9878</t>
    <phoneticPr fontId="5" type="noConversion"/>
  </si>
  <si>
    <t>7751-6308</t>
    <phoneticPr fontId="5" type="noConversion"/>
  </si>
  <si>
    <t>2773-3668</t>
    <phoneticPr fontId="2" type="noConversion"/>
  </si>
  <si>
    <t>7713-4919</t>
    <phoneticPr fontId="2" type="noConversion"/>
  </si>
  <si>
    <t>2183-1165</t>
    <phoneticPr fontId="5" type="noConversion"/>
  </si>
  <si>
    <t>2772-1511</t>
    <phoneticPr fontId="2" type="noConversion"/>
  </si>
  <si>
    <t>2709-6010</t>
    <phoneticPr fontId="2" type="noConversion"/>
  </si>
  <si>
    <t xml:space="preserve">8772-0272 </t>
    <phoneticPr fontId="2" type="noConversion"/>
  </si>
  <si>
    <t>2595-3236</t>
    <phoneticPr fontId="2" type="noConversion"/>
  </si>
  <si>
    <t>2731-5908
2731-5900</t>
    <phoneticPr fontId="2" type="noConversion"/>
  </si>
  <si>
    <t>2741-5921</t>
    <phoneticPr fontId="5" type="noConversion"/>
  </si>
  <si>
    <t>2173-5603</t>
    <phoneticPr fontId="5" type="noConversion"/>
  </si>
  <si>
    <t>6640-3606</t>
    <phoneticPr fontId="2" type="noConversion"/>
  </si>
  <si>
    <t>2781-5696</t>
    <phoneticPr fontId="5" type="noConversion"/>
  </si>
  <si>
    <t>8772-9565</t>
    <phoneticPr fontId="2" type="noConversion"/>
  </si>
  <si>
    <t>2772-3355</t>
    <phoneticPr fontId="5" type="noConversion"/>
  </si>
  <si>
    <t>2711-5166</t>
    <phoneticPr fontId="5" type="noConversion"/>
  </si>
  <si>
    <t>2731-1518</t>
    <phoneticPr fontId="5" type="noConversion"/>
  </si>
  <si>
    <t>8772-2773</t>
    <phoneticPr fontId="5" type="noConversion"/>
  </si>
  <si>
    <t>7723-9886</t>
    <phoneticPr fontId="5" type="noConversion"/>
  </si>
  <si>
    <t>2508-9909</t>
    <phoneticPr fontId="5" type="noConversion"/>
  </si>
  <si>
    <t>04-2284-2520
2173-8000</t>
    <phoneticPr fontId="5" type="noConversion"/>
  </si>
  <si>
    <t>2508-9988</t>
    <phoneticPr fontId="5" type="noConversion"/>
  </si>
  <si>
    <t>8771-9998</t>
    <phoneticPr fontId="5" type="noConversion"/>
  </si>
  <si>
    <t>2773-0588</t>
    <phoneticPr fontId="5" type="noConversion"/>
  </si>
  <si>
    <t>2567-2833</t>
    <phoneticPr fontId="2" type="noConversion"/>
  </si>
  <si>
    <t>2721-6330</t>
    <phoneticPr fontId="2" type="noConversion"/>
  </si>
  <si>
    <t>2791-1000</t>
    <phoneticPr fontId="2" type="noConversion"/>
  </si>
  <si>
    <t>7742-6200
7742-6253</t>
    <phoneticPr fontId="5" type="noConversion"/>
  </si>
  <si>
    <t>6608-9169</t>
    <phoneticPr fontId="5" type="noConversion"/>
  </si>
  <si>
    <t>2751-3758</t>
    <phoneticPr fontId="5" type="noConversion"/>
  </si>
  <si>
    <t>製作日期:</t>
    <phoneticPr fontId="2" type="noConversion"/>
  </si>
  <si>
    <t>14F-3.5.6</t>
    <phoneticPr fontId="2" type="noConversion"/>
  </si>
  <si>
    <r>
      <rPr>
        <sz val="18"/>
        <rFont val="微軟正黑體"/>
        <family val="2"/>
        <charset val="136"/>
      </rPr>
      <t xml:space="preserve">陳S
</t>
    </r>
    <r>
      <rPr>
        <sz val="19"/>
        <rFont val="微軟正黑體"/>
        <family val="2"/>
        <charset val="136"/>
      </rPr>
      <t>#8823</t>
    </r>
    <phoneticPr fontId="5" type="noConversion"/>
  </si>
  <si>
    <t>英商萊特再生能源顧問有限公司台灣分公司</t>
    <phoneticPr fontId="2" type="noConversion"/>
  </si>
  <si>
    <r>
      <t>168號</t>
    </r>
    <r>
      <rPr>
        <sz val="12"/>
        <rFont val="微軟正黑體"/>
        <family val="2"/>
        <charset val="136"/>
      </rPr>
      <t>A6-1</t>
    </r>
    <phoneticPr fontId="5" type="noConversion"/>
  </si>
  <si>
    <t>19.10
.11F</t>
    <phoneticPr fontId="2" type="noConversion"/>
  </si>
  <si>
    <r>
      <t>天域科技</t>
    </r>
    <r>
      <rPr>
        <sz val="13"/>
        <color rgb="FFFF0000"/>
        <rFont val="微軟正黑體"/>
        <family val="2"/>
        <charset val="136"/>
      </rPr>
      <t>(24H)</t>
    </r>
    <phoneticPr fontId="2" type="noConversion"/>
  </si>
  <si>
    <t>0958-604-062</t>
    <phoneticPr fontId="2" type="noConversion"/>
  </si>
  <si>
    <t>19全.10A4
11A5</t>
    <phoneticPr fontId="14" type="noConversion"/>
  </si>
  <si>
    <t>Linda羅</t>
    <phoneticPr fontId="2" type="noConversion"/>
  </si>
  <si>
    <t>0932-596-982</t>
    <phoneticPr fontId="5" type="noConversion"/>
  </si>
  <si>
    <t>蔡家誠</t>
    <phoneticPr fontId="2" type="noConversion"/>
  </si>
  <si>
    <t>0932-596-982</t>
    <phoneticPr fontId="2" type="noConversion"/>
  </si>
  <si>
    <t>鄭舒文</t>
    <phoneticPr fontId="5" type="noConversion"/>
  </si>
  <si>
    <t>0916-714-467</t>
    <phoneticPr fontId="5" type="noConversion"/>
  </si>
  <si>
    <t>海科科技</t>
  </si>
  <si>
    <t>113.11.29</t>
    <phoneticPr fontId="5" type="noConversion"/>
  </si>
  <si>
    <t>113.12.15</t>
    <phoneticPr fontId="5" type="noConversion"/>
  </si>
  <si>
    <t>113.12.31</t>
    <phoneticPr fontId="5" type="noConversion"/>
  </si>
  <si>
    <t>A1、2
A3-1</t>
    <phoneticPr fontId="5" type="noConversion"/>
  </si>
  <si>
    <t>9F-2.3</t>
    <phoneticPr fontId="5" type="noConversion"/>
  </si>
  <si>
    <t>台北窗口-黃昱綺#16
0965-095-718</t>
    <phoneticPr fontId="2" type="noConversion"/>
  </si>
  <si>
    <t>葉詩菁(財務.合約)
0972-831-385</t>
    <phoneticPr fontId="2" type="noConversion"/>
  </si>
  <si>
    <t>數據立</t>
    <phoneticPr fontId="2" type="noConversion"/>
  </si>
  <si>
    <t>數據立諮詢顧問有限公司</t>
    <phoneticPr fontId="2" type="noConversion"/>
  </si>
  <si>
    <t>數據立諮詢顧問有限公司</t>
    <phoneticPr fontId="5" type="noConversion"/>
  </si>
  <si>
    <t>14F數據立</t>
    <phoneticPr fontId="2" type="noConversion"/>
  </si>
  <si>
    <t>A1-A3.5</t>
    <phoneticPr fontId="2" type="noConversion"/>
  </si>
  <si>
    <r>
      <t xml:space="preserve">藤倉
</t>
    </r>
    <r>
      <rPr>
        <sz val="12"/>
        <color rgb="FFFF0000"/>
        <rFont val="微軟正黑體"/>
        <family val="2"/>
        <charset val="136"/>
      </rPr>
      <t xml:space="preserve">室話自動轉手機 </t>
    </r>
    <phoneticPr fontId="2" type="noConversion"/>
  </si>
  <si>
    <r>
      <rPr>
        <sz val="24"/>
        <color theme="1"/>
        <rFont val="微軟正黑體"/>
        <family val="2"/>
        <charset val="136"/>
      </rPr>
      <t>宏盛國際金融中心</t>
    </r>
  </si>
  <si>
    <r>
      <t xml:space="preserve">管理中心： 客服主任-吳佩玲 </t>
    </r>
    <r>
      <rPr>
        <u/>
        <sz val="14"/>
        <color theme="1"/>
        <rFont val="微軟正黑體"/>
        <family val="2"/>
        <charset val="136"/>
      </rPr>
      <t>0936-189-923</t>
    </r>
    <r>
      <rPr>
        <sz val="14"/>
        <color theme="1"/>
        <rFont val="微軟正黑體"/>
        <family val="2"/>
        <charset val="136"/>
      </rPr>
      <t xml:space="preserve">    主任工程師-李智文 </t>
    </r>
    <r>
      <rPr>
        <u/>
        <sz val="14"/>
        <color theme="1"/>
        <rFont val="微軟正黑體"/>
        <family val="2"/>
        <charset val="136"/>
      </rPr>
      <t>0935-992-512</t>
    </r>
    <phoneticPr fontId="14" type="noConversion"/>
  </si>
  <si>
    <t>Christ</t>
    <phoneticPr fontId="2" type="noConversion"/>
  </si>
  <si>
    <t>陳郁雯</t>
  </si>
  <si>
    <t>嚴翔彬
詹佳臻</t>
    <phoneticPr fontId="5" type="noConversion"/>
  </si>
  <si>
    <t>5FA1-A3                9F A5</t>
    <phoneticPr fontId="5" type="noConversion"/>
  </si>
  <si>
    <t>#3105</t>
    <phoneticPr fontId="5" type="noConversion"/>
  </si>
  <si>
    <t>Iris許</t>
    <phoneticPr fontId="2" type="noConversion"/>
  </si>
  <si>
    <t>6640-3623</t>
    <phoneticPr fontId="2" type="noConversion"/>
  </si>
  <si>
    <t xml:space="preserve"> A6-1</t>
    <phoneticPr fontId="5" type="noConversion"/>
  </si>
  <si>
    <t xml:space="preserve"> A6</t>
    <phoneticPr fontId="5" type="noConversion"/>
  </si>
  <si>
    <t>數智聚科技股份有限公司</t>
    <phoneticPr fontId="2" type="noConversion"/>
  </si>
  <si>
    <t>2731-5900</t>
    <phoneticPr fontId="2" type="noConversion"/>
  </si>
  <si>
    <t>龍江路91巷9號</t>
    <phoneticPr fontId="2" type="noConversion"/>
  </si>
  <si>
    <t>166號 A3</t>
    <phoneticPr fontId="2" type="noConversion"/>
  </si>
  <si>
    <t>168號 A2</t>
    <phoneticPr fontId="2" type="noConversion"/>
  </si>
  <si>
    <t>宏盛國際金融中心管理委員會  主任委員:黃樹榮</t>
    <phoneticPr fontId="5" type="noConversion"/>
  </si>
  <si>
    <t>170號 A1</t>
    <phoneticPr fontId="2" type="noConversion"/>
  </si>
  <si>
    <t>數智聚</t>
    <phoneticPr fontId="2" type="noConversion"/>
  </si>
  <si>
    <t>林姿君</t>
    <phoneticPr fontId="2" type="noConversion"/>
  </si>
  <si>
    <t>0910-863-775</t>
    <phoneticPr fontId="2" type="noConversion"/>
  </si>
  <si>
    <t>林姿君</t>
    <phoneticPr fontId="5" type="noConversion"/>
  </si>
  <si>
    <t>Alex</t>
    <phoneticPr fontId="2" type="noConversion"/>
  </si>
  <si>
    <t>0928-589-181</t>
    <phoneticPr fontId="2" type="noConversion"/>
  </si>
  <si>
    <t>14F A6</t>
    <phoneticPr fontId="2" type="noConversion"/>
  </si>
  <si>
    <t>數據立諮詢顧問有限公司
數智聚科技股份有限公司</t>
    <phoneticPr fontId="5" type="noConversion"/>
  </si>
  <si>
    <t>14FA6-1
9FA6</t>
    <phoneticPr fontId="5" type="noConversion"/>
  </si>
  <si>
    <t>0972-881-293</t>
    <phoneticPr fontId="2" type="noConversion"/>
  </si>
  <si>
    <t>0972-861-930</t>
    <phoneticPr fontId="2" type="noConversion"/>
  </si>
  <si>
    <t>陳惠英</t>
    <phoneticPr fontId="2" type="noConversion"/>
  </si>
  <si>
    <t>林騰宇</t>
    <phoneticPr fontId="2" type="noConversion"/>
  </si>
  <si>
    <t>0930-784-098</t>
    <phoneticPr fontId="2" type="noConversion"/>
  </si>
  <si>
    <t>朱時妤</t>
    <phoneticPr fontId="2" type="noConversion"/>
  </si>
  <si>
    <t>0939-765-268</t>
    <phoneticPr fontId="2" type="noConversion"/>
  </si>
  <si>
    <t>徐于婷
王歆語</t>
    <phoneticPr fontId="2" type="noConversion"/>
  </si>
  <si>
    <t>#27</t>
    <phoneticPr fontId="5" type="noConversion"/>
  </si>
  <si>
    <t>gigi
陳俊文</t>
    <phoneticPr fontId="2" type="noConversion"/>
  </si>
  <si>
    <t>0916-323-312
0986-695-779</t>
    <phoneticPr fontId="2" type="noConversion"/>
  </si>
  <si>
    <t>員工
人數</t>
    <phoneticPr fontId="5" type="noConversion"/>
  </si>
  <si>
    <t>吳豐源Eric</t>
    <phoneticPr fontId="2" type="noConversion"/>
  </si>
  <si>
    <t>0988-262-397</t>
    <phoneticPr fontId="2" type="noConversion"/>
  </si>
  <si>
    <t>吳豐源</t>
    <phoneticPr fontId="5" type="noConversion"/>
  </si>
  <si>
    <t>02-7751-6308</t>
    <phoneticPr fontId="5" type="noConversion"/>
  </si>
  <si>
    <t>賴瑋彤Alice</t>
    <phoneticPr fontId="2" type="noConversion"/>
  </si>
  <si>
    <t>賴瑋彤</t>
    <phoneticPr fontId="2" type="noConversion"/>
  </si>
  <si>
    <t>空戶</t>
    <phoneticPr fontId="5" type="noConversion"/>
  </si>
  <si>
    <t>空戶，截至2025/12/31止，宏盛國際金融中心總空戶數為4戶。</t>
    <phoneticPr fontId="5" type="noConversion"/>
  </si>
  <si>
    <t>6603-9520</t>
    <phoneticPr fontId="2" type="noConversion"/>
  </si>
  <si>
    <t>#107</t>
    <phoneticPr fontId="2" type="noConversion"/>
  </si>
  <si>
    <t>劉小玉</t>
    <phoneticPr fontId="5" type="noConversion"/>
  </si>
  <si>
    <t>#3103</t>
    <phoneticPr fontId="5" type="noConversion"/>
  </si>
  <si>
    <t>17F、18F全</t>
    <phoneticPr fontId="8" type="noConversion"/>
  </si>
  <si>
    <t>截至2025/12/31止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</si>
</sst>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_);[Red]\(#,##0.00\)"/>
    <numFmt numFmtId="177" formatCode="0.00\ &quot;坪&quot;"/>
    <numFmt numFmtId="178" formatCode="0.00&quot;坪&quot;"/>
    <numFmt numFmtId="179" formatCode="[$-F800]dddd\,\ mmmm\ dd\,\ yyyy"/>
  </numFmts>
  <fonts count="55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b/>
      <sz val="16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9"/>
      <name val="宋体"/>
      <family val="3"/>
      <charset val="136"/>
    </font>
    <font>
      <sz val="11"/>
      <name val="微軟正黑體"/>
      <family val="2"/>
      <charset val="136"/>
    </font>
    <font>
      <sz val="14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b/>
      <sz val="18"/>
      <color theme="1"/>
      <name val="微軟正黑體"/>
      <family val="2"/>
      <charset val="136"/>
    </font>
    <font>
      <sz val="9"/>
      <name val="標楷體"/>
      <family val="4"/>
      <charset val="136"/>
    </font>
    <font>
      <sz val="14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18"/>
      <name val="微軟正黑體"/>
      <family val="2"/>
      <charset val="136"/>
    </font>
    <font>
      <sz val="16"/>
      <name val="微軟正黑體"/>
      <family val="2"/>
      <charset val="136"/>
    </font>
    <font>
      <u/>
      <sz val="18"/>
      <name val="微軟正黑體"/>
      <family val="2"/>
      <charset val="136"/>
    </font>
    <font>
      <b/>
      <sz val="14"/>
      <name val="微軟正黑體"/>
      <family val="2"/>
      <charset val="136"/>
    </font>
    <font>
      <sz val="14"/>
      <name val="Arial"/>
      <family val="2"/>
    </font>
    <font>
      <sz val="14"/>
      <color rgb="FFFF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3"/>
      <name val="微軟正黑體"/>
      <family val="2"/>
      <charset val="136"/>
    </font>
    <font>
      <sz val="14"/>
      <color indexed="48"/>
      <name val="微軟正黑體"/>
      <family val="2"/>
      <charset val="136"/>
    </font>
    <font>
      <b/>
      <sz val="18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14"/>
      <color indexed="81"/>
      <name val="微軟正黑體"/>
      <family val="2"/>
      <charset val="136"/>
    </font>
    <font>
      <sz val="13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rgb="FF000000"/>
      <name val="Verdana"/>
      <family val="2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b/>
      <sz val="20"/>
      <name val="微軟正黑體"/>
      <family val="2"/>
      <charset val="136"/>
    </font>
    <font>
      <sz val="19"/>
      <name val="微軟正黑體"/>
      <family val="2"/>
      <charset val="136"/>
    </font>
    <font>
      <sz val="2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8"/>
      <color rgb="FFFF0000"/>
      <name val="微軟正黑體"/>
      <family val="2"/>
      <charset val="136"/>
    </font>
    <font>
      <u/>
      <sz val="16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sz val="24"/>
      <color theme="1"/>
      <name val="微軟正黑體"/>
      <family val="2"/>
      <charset val="136"/>
    </font>
    <font>
      <u/>
      <sz val="14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C89B8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D7F3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 applyBorder="0">
      <alignment vertical="center"/>
    </xf>
    <xf numFmtId="0" fontId="1" fillId="0" borderId="0"/>
    <xf numFmtId="0" fontId="7" fillId="0" borderId="0">
      <alignment vertical="center"/>
    </xf>
    <xf numFmtId="0" fontId="1" fillId="0" borderId="0"/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</cellStyleXfs>
  <cellXfs count="884">
    <xf numFmtId="0" fontId="0" fillId="0" borderId="0" xfId="0">
      <alignment vertical="center"/>
    </xf>
    <xf numFmtId="0" fontId="10" fillId="0" borderId="0" xfId="4" applyFont="1"/>
    <xf numFmtId="0" fontId="4" fillId="4" borderId="8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16" fillId="2" borderId="1" xfId="7" applyFont="1" applyFill="1" applyBorder="1" applyAlignment="1">
      <alignment horizontal="center" vertical="center"/>
    </xf>
    <xf numFmtId="0" fontId="15" fillId="2" borderId="1" xfId="7" applyFont="1" applyFill="1" applyBorder="1" applyAlignment="1">
      <alignment horizontal="center" vertical="center"/>
    </xf>
    <xf numFmtId="0" fontId="10" fillId="2" borderId="1" xfId="8" applyFont="1" applyFill="1" applyBorder="1" applyAlignment="1">
      <alignment horizontal="center" vertical="center"/>
    </xf>
    <xf numFmtId="0" fontId="16" fillId="2" borderId="16" xfId="7" applyFont="1" applyFill="1" applyBorder="1" applyAlignment="1">
      <alignment horizontal="center" vertical="center"/>
    </xf>
    <xf numFmtId="0" fontId="15" fillId="2" borderId="16" xfId="7" applyFont="1" applyFill="1" applyBorder="1" applyAlignment="1">
      <alignment horizontal="center" vertical="center"/>
    </xf>
    <xf numFmtId="0" fontId="15" fillId="2" borderId="6" xfId="7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24" fillId="3" borderId="1" xfId="3" applyFont="1" applyFill="1" applyBorder="1" applyAlignment="1">
      <alignment horizontal="center" vertical="center" shrinkToFit="1"/>
    </xf>
    <xf numFmtId="0" fontId="24" fillId="3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/>
    </xf>
    <xf numFmtId="0" fontId="15" fillId="0" borderId="0" xfId="5" applyFont="1" applyAlignment="1">
      <alignment horizontal="center" vertical="center"/>
    </xf>
    <xf numFmtId="0" fontId="10" fillId="0" borderId="0" xfId="3" applyFont="1" applyAlignment="1">
      <alignment horizontal="left" vertical="center" shrinkToFit="1"/>
    </xf>
    <xf numFmtId="0" fontId="24" fillId="0" borderId="0" xfId="3" applyFont="1" applyAlignment="1">
      <alignment horizontal="center" vertical="center" shrinkToFit="1"/>
    </xf>
    <xf numFmtId="0" fontId="10" fillId="0" borderId="0" xfId="3" applyFont="1" applyAlignment="1">
      <alignment horizontal="center" vertical="center"/>
    </xf>
    <xf numFmtId="0" fontId="24" fillId="0" borderId="0" xfId="8" applyFont="1" applyAlignment="1">
      <alignment horizontal="center" vertical="center"/>
    </xf>
    <xf numFmtId="0" fontId="24" fillId="5" borderId="23" xfId="8" applyFont="1" applyFill="1" applyBorder="1" applyAlignment="1">
      <alignment horizontal="center" vertical="center"/>
    </xf>
    <xf numFmtId="0" fontId="24" fillId="5" borderId="12" xfId="8" applyFont="1" applyFill="1" applyBorder="1" applyAlignment="1">
      <alignment horizontal="center" vertical="center"/>
    </xf>
    <xf numFmtId="0" fontId="24" fillId="5" borderId="11" xfId="8" applyFont="1" applyFill="1" applyBorder="1" applyAlignment="1">
      <alignment horizontal="center" vertical="center"/>
    </xf>
    <xf numFmtId="0" fontId="24" fillId="5" borderId="22" xfId="8" applyFont="1" applyFill="1" applyBorder="1" applyAlignment="1">
      <alignment horizontal="center" vertical="center" wrapText="1"/>
    </xf>
    <xf numFmtId="0" fontId="24" fillId="5" borderId="8" xfId="8" applyFont="1" applyFill="1" applyBorder="1" applyAlignment="1">
      <alignment horizontal="center" vertical="center" wrapText="1"/>
    </xf>
    <xf numFmtId="0" fontId="24" fillId="5" borderId="8" xfId="8" applyFont="1" applyFill="1" applyBorder="1" applyAlignment="1">
      <alignment horizontal="center" vertical="center"/>
    </xf>
    <xf numFmtId="49" fontId="24" fillId="5" borderId="8" xfId="8" applyNumberFormat="1" applyFont="1" applyFill="1" applyBorder="1" applyAlignment="1">
      <alignment horizontal="center" vertical="center"/>
    </xf>
    <xf numFmtId="0" fontId="24" fillId="0" borderId="4" xfId="8" applyFont="1" applyBorder="1" applyAlignment="1">
      <alignment horizontal="center" vertical="center" wrapText="1"/>
    </xf>
    <xf numFmtId="0" fontId="24" fillId="0" borderId="1" xfId="8" applyFont="1" applyBorder="1" applyAlignment="1">
      <alignment horizontal="center" vertical="center"/>
    </xf>
    <xf numFmtId="49" fontId="24" fillId="0" borderId="2" xfId="8" applyNumberFormat="1" applyFont="1" applyBorder="1" applyAlignment="1">
      <alignment horizontal="center" vertical="center"/>
    </xf>
    <xf numFmtId="49" fontId="24" fillId="5" borderId="35" xfId="8" applyNumberFormat="1" applyFont="1" applyFill="1" applyBorder="1" applyAlignment="1">
      <alignment horizontal="center" vertical="center"/>
    </xf>
    <xf numFmtId="0" fontId="10" fillId="0" borderId="0" xfId="8" applyFont="1" applyAlignment="1">
      <alignment horizontal="center" vertical="center"/>
    </xf>
    <xf numFmtId="0" fontId="10" fillId="0" borderId="90" xfId="8" applyFont="1" applyBorder="1" applyAlignment="1">
      <alignment horizontal="center" vertical="center"/>
    </xf>
    <xf numFmtId="0" fontId="10" fillId="0" borderId="42" xfId="8" applyFont="1" applyBorder="1" applyAlignment="1">
      <alignment horizontal="center" vertical="center"/>
    </xf>
    <xf numFmtId="0" fontId="10" fillId="0" borderId="35" xfId="8" applyFont="1" applyBorder="1" applyAlignment="1">
      <alignment horizontal="center" vertical="center"/>
    </xf>
    <xf numFmtId="0" fontId="10" fillId="0" borderId="36" xfId="8" applyFont="1" applyBorder="1" applyAlignment="1">
      <alignment horizontal="center" vertical="center"/>
    </xf>
    <xf numFmtId="0" fontId="10" fillId="0" borderId="14" xfId="8" applyFont="1" applyBorder="1" applyAlignment="1">
      <alignment horizontal="left" vertical="center" wrapText="1"/>
    </xf>
    <xf numFmtId="0" fontId="10" fillId="0" borderId="14" xfId="8" applyFont="1" applyBorder="1" applyAlignment="1">
      <alignment horizontal="center" vertical="center" wrapText="1"/>
    </xf>
    <xf numFmtId="0" fontId="10" fillId="0" borderId="14" xfId="8" applyFont="1" applyBorder="1" applyAlignment="1">
      <alignment horizontal="center" vertical="center"/>
    </xf>
    <xf numFmtId="49" fontId="10" fillId="0" borderId="5" xfId="8" applyNumberFormat="1" applyFont="1" applyBorder="1" applyAlignment="1">
      <alignment horizontal="center" vertical="center"/>
    </xf>
    <xf numFmtId="49" fontId="10" fillId="0" borderId="38" xfId="8" applyNumberFormat="1" applyFont="1" applyBorder="1" applyAlignment="1">
      <alignment horizontal="center" vertical="center"/>
    </xf>
    <xf numFmtId="0" fontId="10" fillId="0" borderId="4" xfId="8" applyFont="1" applyBorder="1" applyAlignment="1">
      <alignment horizontal="center" vertical="center" wrapText="1"/>
    </xf>
    <xf numFmtId="0" fontId="10" fillId="0" borderId="1" xfId="8" applyFont="1" applyBorder="1" applyAlignment="1">
      <alignment horizontal="center" vertical="center"/>
    </xf>
    <xf numFmtId="49" fontId="10" fillId="0" borderId="2" xfId="8" applyNumberFormat="1" applyFont="1" applyBorder="1" applyAlignment="1">
      <alignment horizontal="center" vertical="center"/>
    </xf>
    <xf numFmtId="0" fontId="10" fillId="0" borderId="43" xfId="8" applyFont="1" applyBorder="1" applyAlignment="1">
      <alignment horizontal="center" vertical="center"/>
    </xf>
    <xf numFmtId="0" fontId="10" fillId="0" borderId="44" xfId="8" applyFont="1" applyBorder="1" applyAlignment="1">
      <alignment horizontal="center" vertical="center"/>
    </xf>
    <xf numFmtId="0" fontId="10" fillId="0" borderId="45" xfId="8" applyFont="1" applyBorder="1" applyAlignment="1">
      <alignment horizontal="center" vertical="center"/>
    </xf>
    <xf numFmtId="0" fontId="10" fillId="0" borderId="46" xfId="8" applyFont="1" applyBorder="1" applyAlignment="1">
      <alignment horizontal="center" vertical="center"/>
    </xf>
    <xf numFmtId="0" fontId="10" fillId="0" borderId="75" xfId="8" applyFont="1" applyBorder="1" applyAlignment="1">
      <alignment horizontal="center" vertical="center"/>
    </xf>
    <xf numFmtId="0" fontId="10" fillId="0" borderId="53" xfId="8" applyFont="1" applyBorder="1" applyAlignment="1">
      <alignment horizontal="center" vertical="center" wrapText="1"/>
    </xf>
    <xf numFmtId="0" fontId="10" fillId="0" borderId="54" xfId="8" applyFont="1" applyBorder="1" applyAlignment="1">
      <alignment horizontal="center" vertical="center" wrapText="1"/>
    </xf>
    <xf numFmtId="0" fontId="10" fillId="0" borderId="55" xfId="8" applyFont="1" applyBorder="1" applyAlignment="1">
      <alignment horizontal="center" vertical="center"/>
    </xf>
    <xf numFmtId="0" fontId="10" fillId="6" borderId="9" xfId="8" applyFont="1" applyFill="1" applyBorder="1" applyAlignment="1">
      <alignment horizontal="center" vertical="center" wrapText="1"/>
    </xf>
    <xf numFmtId="0" fontId="10" fillId="6" borderId="1" xfId="8" applyFont="1" applyFill="1" applyBorder="1" applyAlignment="1">
      <alignment horizontal="center" vertical="center" wrapText="1"/>
    </xf>
    <xf numFmtId="0" fontId="10" fillId="10" borderId="39" xfId="8" applyFont="1" applyFill="1" applyBorder="1" applyAlignment="1">
      <alignment horizontal="center" vertical="center" wrapText="1"/>
    </xf>
    <xf numFmtId="49" fontId="10" fillId="11" borderId="9" xfId="8" applyNumberFormat="1" applyFont="1" applyFill="1" applyBorder="1" applyAlignment="1">
      <alignment horizontal="center" vertical="center"/>
    </xf>
    <xf numFmtId="0" fontId="10" fillId="11" borderId="1" xfId="8" applyFont="1" applyFill="1" applyBorder="1" applyAlignment="1">
      <alignment horizontal="center" vertical="center" wrapText="1"/>
    </xf>
    <xf numFmtId="0" fontId="10" fillId="11" borderId="14" xfId="8" applyFont="1" applyFill="1" applyBorder="1" applyAlignment="1">
      <alignment horizontal="center" vertical="center" wrapText="1"/>
    </xf>
    <xf numFmtId="0" fontId="10" fillId="12" borderId="6" xfId="8" applyFont="1" applyFill="1" applyBorder="1" applyAlignment="1">
      <alignment horizontal="center" vertical="center" wrapText="1"/>
    </xf>
    <xf numFmtId="0" fontId="10" fillId="12" borderId="1" xfId="8" applyFont="1" applyFill="1" applyBorder="1" applyAlignment="1">
      <alignment horizontal="center" vertical="center" wrapText="1"/>
    </xf>
    <xf numFmtId="0" fontId="10" fillId="0" borderId="77" xfId="8" applyFont="1" applyBorder="1" applyAlignment="1">
      <alignment horizontal="center" vertical="center" wrapText="1"/>
    </xf>
    <xf numFmtId="0" fontId="10" fillId="0" borderId="15" xfId="8" applyFont="1" applyBorder="1" applyAlignment="1">
      <alignment horizontal="center" vertical="center" wrapText="1"/>
    </xf>
    <xf numFmtId="0" fontId="10" fillId="0" borderId="39" xfId="8" applyFont="1" applyBorder="1" applyAlignment="1">
      <alignment horizontal="center" vertical="center" wrapText="1"/>
    </xf>
    <xf numFmtId="0" fontId="10" fillId="0" borderId="15" xfId="8" applyFont="1" applyBorder="1" applyAlignment="1">
      <alignment horizontal="left" vertical="center"/>
    </xf>
    <xf numFmtId="0" fontId="10" fillId="0" borderId="15" xfId="8" applyFont="1" applyBorder="1" applyAlignment="1">
      <alignment horizontal="center" vertical="center"/>
    </xf>
    <xf numFmtId="0" fontId="10" fillId="0" borderId="56" xfId="8" applyFont="1" applyBorder="1" applyAlignment="1">
      <alignment horizontal="center" vertical="center"/>
    </xf>
    <xf numFmtId="49" fontId="10" fillId="0" borderId="77" xfId="8" applyNumberFormat="1" applyFont="1" applyBorder="1" applyAlignment="1">
      <alignment horizontal="center" vertical="center"/>
    </xf>
    <xf numFmtId="0" fontId="10" fillId="0" borderId="4" xfId="8" applyFont="1" applyBorder="1" applyAlignment="1">
      <alignment horizontal="center" vertical="center"/>
    </xf>
    <xf numFmtId="0" fontId="10" fillId="0" borderId="2" xfId="8" applyFont="1" applyBorder="1" applyAlignment="1">
      <alignment horizontal="center" vertical="center"/>
    </xf>
    <xf numFmtId="0" fontId="10" fillId="0" borderId="40" xfId="8" applyFont="1" applyBorder="1" applyAlignment="1">
      <alignment horizontal="center" vertical="center"/>
    </xf>
    <xf numFmtId="0" fontId="10" fillId="0" borderId="0" xfId="8" applyFont="1" applyAlignment="1">
      <alignment horizontal="center" vertical="center" wrapText="1"/>
    </xf>
    <xf numFmtId="0" fontId="10" fillId="0" borderId="15" xfId="8" applyFont="1" applyBorder="1" applyAlignment="1">
      <alignment horizontal="left" vertical="center" wrapText="1"/>
    </xf>
    <xf numFmtId="0" fontId="10" fillId="0" borderId="5" xfId="8" applyFont="1" applyBorder="1" applyAlignment="1">
      <alignment horizontal="center" vertical="center"/>
    </xf>
    <xf numFmtId="0" fontId="10" fillId="0" borderId="82" xfId="8" applyFont="1" applyBorder="1" applyAlignment="1">
      <alignment horizontal="center" vertical="center"/>
    </xf>
    <xf numFmtId="0" fontId="10" fillId="0" borderId="43" xfId="8" applyFont="1" applyBorder="1" applyAlignment="1">
      <alignment horizontal="center" vertical="center" wrapText="1"/>
    </xf>
    <xf numFmtId="0" fontId="10" fillId="16" borderId="39" xfId="8" applyFont="1" applyFill="1" applyBorder="1" applyAlignment="1">
      <alignment horizontal="center" vertical="center"/>
    </xf>
    <xf numFmtId="0" fontId="10" fillId="17" borderId="39" xfId="8" applyFont="1" applyFill="1" applyBorder="1" applyAlignment="1">
      <alignment horizontal="center" vertical="center"/>
    </xf>
    <xf numFmtId="0" fontId="10" fillId="0" borderId="0" xfId="8" applyFont="1" applyAlignment="1">
      <alignment horizontal="left" vertical="center"/>
    </xf>
    <xf numFmtId="0" fontId="10" fillId="0" borderId="18" xfId="8" applyFont="1" applyBorder="1" applyAlignment="1">
      <alignment horizontal="center" vertical="center"/>
    </xf>
    <xf numFmtId="49" fontId="10" fillId="0" borderId="9" xfId="8" applyNumberFormat="1" applyFont="1" applyBorder="1" applyAlignment="1">
      <alignment horizontal="center" vertical="center"/>
    </xf>
    <xf numFmtId="0" fontId="10" fillId="0" borderId="27" xfId="8" applyFont="1" applyBorder="1" applyAlignment="1">
      <alignment horizontal="center" vertical="center"/>
    </xf>
    <xf numFmtId="0" fontId="10" fillId="0" borderId="9" xfId="8" applyFont="1" applyBorder="1" applyAlignment="1">
      <alignment horizontal="left" vertical="center" wrapText="1"/>
    </xf>
    <xf numFmtId="0" fontId="10" fillId="0" borderId="9" xfId="8" applyFont="1" applyBorder="1" applyAlignment="1">
      <alignment horizontal="center" vertical="center" wrapText="1"/>
    </xf>
    <xf numFmtId="0" fontId="10" fillId="0" borderId="9" xfId="8" applyFont="1" applyBorder="1" applyAlignment="1">
      <alignment horizontal="center" vertical="center"/>
    </xf>
    <xf numFmtId="0" fontId="10" fillId="0" borderId="19" xfId="8" applyFont="1" applyBorder="1" applyAlignment="1">
      <alignment horizontal="center" vertical="center"/>
    </xf>
    <xf numFmtId="0" fontId="10" fillId="0" borderId="58" xfId="8" applyFont="1" applyBorder="1" applyAlignment="1">
      <alignment horizontal="center" vertical="center"/>
    </xf>
    <xf numFmtId="0" fontId="10" fillId="0" borderId="20" xfId="8" applyFont="1" applyBorder="1" applyAlignment="1">
      <alignment horizontal="center" vertical="center"/>
    </xf>
    <xf numFmtId="49" fontId="10" fillId="0" borderId="1" xfId="8" applyNumberFormat="1" applyFont="1" applyBorder="1" applyAlignment="1">
      <alignment horizontal="center" vertical="center"/>
    </xf>
    <xf numFmtId="0" fontId="10" fillId="0" borderId="16" xfId="8" applyFont="1" applyBorder="1" applyAlignment="1">
      <alignment horizontal="left" vertical="center" wrapText="1"/>
    </xf>
    <xf numFmtId="0" fontId="10" fillId="0" borderId="1" xfId="8" applyFont="1" applyBorder="1" applyAlignment="1">
      <alignment horizontal="left" vertical="center" wrapText="1"/>
    </xf>
    <xf numFmtId="0" fontId="10" fillId="0" borderId="1" xfId="8" applyFont="1" applyBorder="1" applyAlignment="1">
      <alignment horizontal="center" vertical="center" wrapText="1"/>
    </xf>
    <xf numFmtId="0" fontId="10" fillId="0" borderId="21" xfId="8" applyFont="1" applyBorder="1" applyAlignment="1">
      <alignment horizontal="center" vertical="center"/>
    </xf>
    <xf numFmtId="0" fontId="10" fillId="0" borderId="69" xfId="8" applyFont="1" applyBorder="1" applyAlignment="1">
      <alignment horizontal="center" vertical="center"/>
    </xf>
    <xf numFmtId="0" fontId="10" fillId="0" borderId="61" xfId="8" applyFont="1" applyBorder="1" applyAlignment="1">
      <alignment horizontal="center" vertical="center"/>
    </xf>
    <xf numFmtId="179" fontId="10" fillId="0" borderId="1" xfId="8" applyNumberFormat="1" applyFont="1" applyBorder="1" applyAlignment="1">
      <alignment horizontal="center" vertical="center" wrapText="1"/>
    </xf>
    <xf numFmtId="0" fontId="10" fillId="0" borderId="63" xfId="8" applyFont="1" applyBorder="1" applyAlignment="1">
      <alignment horizontal="center" vertical="center" wrapText="1"/>
    </xf>
    <xf numFmtId="0" fontId="10" fillId="0" borderId="16" xfId="8" applyFont="1" applyBorder="1" applyAlignment="1">
      <alignment horizontal="center" vertical="center"/>
    </xf>
    <xf numFmtId="0" fontId="10" fillId="0" borderId="64" xfId="8" applyFont="1" applyBorder="1" applyAlignment="1">
      <alignment horizontal="center" vertical="center"/>
    </xf>
    <xf numFmtId="0" fontId="10" fillId="0" borderId="22" xfId="8" applyFont="1" applyBorder="1" applyAlignment="1">
      <alignment horizontal="center" vertical="center"/>
    </xf>
    <xf numFmtId="179" fontId="10" fillId="0" borderId="8" xfId="8" applyNumberFormat="1" applyFont="1" applyBorder="1" applyAlignment="1">
      <alignment horizontal="center" vertical="center" wrapText="1"/>
    </xf>
    <xf numFmtId="0" fontId="10" fillId="0" borderId="10" xfId="8" applyFont="1" applyBorder="1" applyAlignment="1">
      <alignment horizontal="center" vertical="center"/>
    </xf>
    <xf numFmtId="0" fontId="10" fillId="0" borderId="8" xfId="8" applyFont="1" applyBorder="1" applyAlignment="1">
      <alignment horizontal="left" vertical="center" wrapText="1"/>
    </xf>
    <xf numFmtId="0" fontId="10" fillId="0" borderId="52" xfId="8" applyFont="1" applyBorder="1">
      <alignment vertical="center"/>
    </xf>
    <xf numFmtId="0" fontId="10" fillId="0" borderId="71" xfId="8" applyFont="1" applyBorder="1" applyAlignment="1">
      <alignment horizontal="center" vertical="center"/>
    </xf>
    <xf numFmtId="0" fontId="10" fillId="0" borderId="65" xfId="8" applyFont="1" applyBorder="1" applyAlignment="1">
      <alignment horizontal="center" vertical="center"/>
    </xf>
    <xf numFmtId="0" fontId="10" fillId="0" borderId="66" xfId="8" applyFont="1" applyBorder="1" applyAlignment="1">
      <alignment horizontal="center" vertical="center" wrapText="1"/>
    </xf>
    <xf numFmtId="49" fontId="10" fillId="0" borderId="67" xfId="8" applyNumberFormat="1" applyFont="1" applyBorder="1" applyAlignment="1">
      <alignment horizontal="center" vertical="center"/>
    </xf>
    <xf numFmtId="0" fontId="10" fillId="0" borderId="45" xfId="8" applyFont="1" applyBorder="1" applyAlignment="1">
      <alignment horizontal="center" vertical="center" wrapText="1"/>
    </xf>
    <xf numFmtId="0" fontId="10" fillId="0" borderId="63" xfId="8" applyFont="1" applyBorder="1" applyAlignment="1">
      <alignment vertical="center" wrapText="1"/>
    </xf>
    <xf numFmtId="0" fontId="10" fillId="0" borderId="16" xfId="8" applyFont="1" applyBorder="1" applyAlignment="1">
      <alignment vertical="center" wrapText="1"/>
    </xf>
    <xf numFmtId="0" fontId="10" fillId="0" borderId="64" xfId="8" applyFont="1" applyBorder="1" applyAlignment="1">
      <alignment vertical="center" wrapText="1"/>
    </xf>
    <xf numFmtId="0" fontId="10" fillId="0" borderId="69" xfId="8" applyFont="1" applyBorder="1" applyAlignment="1">
      <alignment vertical="center" wrapText="1"/>
    </xf>
    <xf numFmtId="0" fontId="10" fillId="0" borderId="6" xfId="8" applyFont="1" applyBorder="1">
      <alignment vertical="center"/>
    </xf>
    <xf numFmtId="0" fontId="10" fillId="0" borderId="70" xfId="8" applyFont="1" applyBorder="1">
      <alignment vertical="center"/>
    </xf>
    <xf numFmtId="0" fontId="10" fillId="0" borderId="18" xfId="8" applyFont="1" applyBorder="1" applyAlignment="1">
      <alignment horizontal="center" vertical="center" wrapText="1"/>
    </xf>
    <xf numFmtId="0" fontId="10" fillId="0" borderId="27" xfId="8" applyFont="1" applyBorder="1" applyAlignment="1">
      <alignment horizontal="center" vertical="center" wrapText="1"/>
    </xf>
    <xf numFmtId="0" fontId="10" fillId="0" borderId="19" xfId="8" applyFont="1" applyBorder="1" applyAlignment="1">
      <alignment horizontal="center" vertical="center" wrapText="1"/>
    </xf>
    <xf numFmtId="0" fontId="10" fillId="0" borderId="58" xfId="8" applyFont="1" applyBorder="1" applyAlignment="1">
      <alignment horizontal="center" vertical="center" wrapText="1"/>
    </xf>
    <xf numFmtId="0" fontId="10" fillId="0" borderId="8" xfId="8" applyFont="1" applyBorder="1" applyAlignment="1">
      <alignment horizontal="center" vertical="center"/>
    </xf>
    <xf numFmtId="0" fontId="10" fillId="0" borderId="52" xfId="8" applyFont="1" applyBorder="1" applyAlignment="1">
      <alignment horizontal="center" vertical="center" wrapText="1"/>
    </xf>
    <xf numFmtId="0" fontId="10" fillId="0" borderId="47" xfId="8" applyFont="1" applyBorder="1" applyAlignment="1">
      <alignment horizontal="center" vertical="center"/>
    </xf>
    <xf numFmtId="0" fontId="10" fillId="0" borderId="39" xfId="8" applyFont="1" applyBorder="1" applyAlignment="1">
      <alignment horizontal="left" vertical="center" wrapText="1"/>
    </xf>
    <xf numFmtId="0" fontId="10" fillId="0" borderId="38" xfId="8" applyFont="1" applyBorder="1" applyAlignment="1">
      <alignment horizontal="center" vertical="center"/>
    </xf>
    <xf numFmtId="0" fontId="10" fillId="0" borderId="35" xfId="8" applyFont="1" applyBorder="1" applyAlignment="1">
      <alignment horizontal="center" vertical="center" wrapText="1"/>
    </xf>
    <xf numFmtId="0" fontId="10" fillId="0" borderId="17" xfId="8" applyFont="1" applyBorder="1" applyAlignment="1">
      <alignment horizontal="center" vertical="center"/>
    </xf>
    <xf numFmtId="49" fontId="10" fillId="0" borderId="9" xfId="8" applyNumberFormat="1" applyFont="1" applyBorder="1" applyAlignment="1">
      <alignment horizontal="left" vertical="center"/>
    </xf>
    <xf numFmtId="49" fontId="10" fillId="0" borderId="19" xfId="8" applyNumberFormat="1" applyFont="1" applyBorder="1" applyAlignment="1">
      <alignment horizontal="center" vertical="center"/>
    </xf>
    <xf numFmtId="0" fontId="10" fillId="0" borderId="80" xfId="8" applyFont="1" applyBorder="1" applyAlignment="1">
      <alignment horizontal="center" vertical="center"/>
    </xf>
    <xf numFmtId="0" fontId="10" fillId="0" borderId="76" xfId="8" applyFont="1" applyBorder="1" applyAlignment="1">
      <alignment horizontal="center" vertical="center"/>
    </xf>
    <xf numFmtId="0" fontId="10" fillId="0" borderId="24" xfId="8" applyFont="1" applyBorder="1" applyAlignment="1">
      <alignment horizontal="center" vertical="center" wrapText="1"/>
    </xf>
    <xf numFmtId="49" fontId="10" fillId="0" borderId="6" xfId="8" applyNumberFormat="1" applyFont="1" applyBorder="1" applyAlignment="1">
      <alignment horizontal="center" vertical="center" wrapText="1"/>
    </xf>
    <xf numFmtId="0" fontId="10" fillId="0" borderId="7" xfId="8" applyFont="1" applyBorder="1" applyAlignment="1">
      <alignment horizontal="center" vertical="center"/>
    </xf>
    <xf numFmtId="0" fontId="10" fillId="0" borderId="61" xfId="8" applyFont="1" applyBorder="1" applyAlignment="1">
      <alignment horizontal="center" vertical="center" wrapText="1"/>
    </xf>
    <xf numFmtId="0" fontId="10" fillId="0" borderId="91" xfId="8" applyFont="1" applyBorder="1" applyAlignment="1">
      <alignment horizontal="center" vertical="center"/>
    </xf>
    <xf numFmtId="49" fontId="10" fillId="0" borderId="16" xfId="8" applyNumberFormat="1" applyFont="1" applyBorder="1" applyAlignment="1">
      <alignment horizontal="center" vertical="center"/>
    </xf>
    <xf numFmtId="0" fontId="10" fillId="0" borderId="86" xfId="8" applyFont="1" applyBorder="1" applyAlignment="1">
      <alignment horizontal="center" vertical="center"/>
    </xf>
    <xf numFmtId="0" fontId="10" fillId="0" borderId="16" xfId="8" applyFont="1" applyBorder="1" applyAlignment="1">
      <alignment horizontal="center" vertical="center" wrapText="1"/>
    </xf>
    <xf numFmtId="0" fontId="10" fillId="0" borderId="6" xfId="8" applyFont="1" applyBorder="1" applyAlignment="1">
      <alignment horizontal="left" vertical="center" wrapText="1"/>
    </xf>
    <xf numFmtId="0" fontId="10" fillId="0" borderId="6" xfId="8" applyFont="1" applyBorder="1" applyAlignment="1">
      <alignment horizontal="center" vertical="center" wrapText="1"/>
    </xf>
    <xf numFmtId="0" fontId="10" fillId="0" borderId="6" xfId="8" applyFont="1" applyBorder="1" applyAlignment="1">
      <alignment horizontal="center" vertical="center"/>
    </xf>
    <xf numFmtId="0" fontId="10" fillId="0" borderId="25" xfId="8" applyFont="1" applyBorder="1" applyAlignment="1">
      <alignment horizontal="left" vertical="center" wrapText="1"/>
    </xf>
    <xf numFmtId="0" fontId="10" fillId="0" borderId="24" xfId="8" applyFont="1" applyBorder="1" applyAlignment="1">
      <alignment horizontal="center" vertical="center"/>
    </xf>
    <xf numFmtId="49" fontId="10" fillId="0" borderId="16" xfId="8" applyNumberFormat="1" applyFont="1" applyBorder="1" applyAlignment="1">
      <alignment horizontal="center" vertical="center" wrapText="1"/>
    </xf>
    <xf numFmtId="0" fontId="10" fillId="0" borderId="25" xfId="8" applyFont="1" applyBorder="1" applyAlignment="1">
      <alignment horizontal="center" vertical="center"/>
    </xf>
    <xf numFmtId="0" fontId="10" fillId="0" borderId="20" xfId="8" applyFont="1" applyBorder="1" applyAlignment="1">
      <alignment horizontal="center" vertical="center" wrapText="1"/>
    </xf>
    <xf numFmtId="179" fontId="10" fillId="0" borderId="16" xfId="8" applyNumberFormat="1" applyFont="1" applyBorder="1" applyAlignment="1">
      <alignment horizontal="center" vertical="center" wrapText="1"/>
    </xf>
    <xf numFmtId="0" fontId="10" fillId="0" borderId="25" xfId="8" applyFont="1" applyBorder="1" applyAlignment="1">
      <alignment horizontal="center" vertical="center" wrapText="1"/>
    </xf>
    <xf numFmtId="0" fontId="10" fillId="0" borderId="80" xfId="8" applyFont="1" applyBorder="1" applyAlignment="1">
      <alignment horizontal="center" vertical="center" wrapText="1"/>
    </xf>
    <xf numFmtId="0" fontId="10" fillId="0" borderId="69" xfId="8" applyFont="1" applyBorder="1" applyAlignment="1">
      <alignment horizontal="center" vertical="center" wrapText="1"/>
    </xf>
    <xf numFmtId="0" fontId="10" fillId="0" borderId="70" xfId="8" applyFont="1" applyBorder="1" applyAlignment="1">
      <alignment horizontal="center" vertical="center"/>
    </xf>
    <xf numFmtId="0" fontId="10" fillId="0" borderId="72" xfId="8" applyFont="1" applyBorder="1" applyAlignment="1">
      <alignment horizontal="center" vertical="center" wrapText="1"/>
    </xf>
    <xf numFmtId="0" fontId="10" fillId="0" borderId="79" xfId="8" applyFont="1" applyBorder="1" applyAlignment="1">
      <alignment horizontal="center" vertical="center"/>
    </xf>
    <xf numFmtId="0" fontId="10" fillId="0" borderId="39" xfId="8" applyFont="1" applyBorder="1" applyAlignment="1">
      <alignment horizontal="left" vertical="center"/>
    </xf>
    <xf numFmtId="0" fontId="10" fillId="0" borderId="39" xfId="8" applyFont="1" applyBorder="1" applyAlignment="1">
      <alignment horizontal="center" vertical="center"/>
    </xf>
    <xf numFmtId="49" fontId="10" fillId="0" borderId="18" xfId="8" applyNumberFormat="1" applyFont="1" applyBorder="1" applyAlignment="1">
      <alignment horizontal="center" vertical="center"/>
    </xf>
    <xf numFmtId="0" fontId="10" fillId="0" borderId="9" xfId="8" applyFont="1" applyBorder="1" applyAlignment="1">
      <alignment horizontal="left" vertical="center"/>
    </xf>
    <xf numFmtId="0" fontId="10" fillId="0" borderId="76" xfId="8" applyFont="1" applyBorder="1" applyAlignment="1">
      <alignment horizontal="center" vertical="center" wrapText="1"/>
    </xf>
    <xf numFmtId="0" fontId="10" fillId="0" borderId="6" xfId="8" applyFont="1" applyBorder="1" applyAlignment="1">
      <alignment horizontal="left" vertical="center"/>
    </xf>
    <xf numFmtId="49" fontId="10" fillId="0" borderId="24" xfId="8" applyNumberFormat="1" applyFont="1" applyBorder="1" applyAlignment="1">
      <alignment horizontal="center" vertical="center"/>
    </xf>
    <xf numFmtId="0" fontId="10" fillId="0" borderId="38" xfId="8" applyFont="1" applyBorder="1" applyAlignment="1">
      <alignment horizontal="center" vertical="center" wrapText="1"/>
    </xf>
    <xf numFmtId="179" fontId="10" fillId="0" borderId="39" xfId="8" applyNumberFormat="1" applyFont="1" applyBorder="1" applyAlignment="1">
      <alignment horizontal="center" vertical="center" wrapText="1"/>
    </xf>
    <xf numFmtId="49" fontId="10" fillId="0" borderId="18" xfId="8" applyNumberFormat="1" applyFont="1" applyBorder="1" applyAlignment="1">
      <alignment horizontal="center" vertical="center" wrapText="1"/>
    </xf>
    <xf numFmtId="0" fontId="10" fillId="0" borderId="13" xfId="8" applyFont="1" applyBorder="1" applyAlignment="1">
      <alignment horizontal="left" vertical="center"/>
    </xf>
    <xf numFmtId="0" fontId="10" fillId="0" borderId="13" xfId="8" applyFont="1" applyBorder="1" applyAlignment="1">
      <alignment horizontal="center" vertical="center" wrapText="1"/>
    </xf>
    <xf numFmtId="0" fontId="10" fillId="0" borderId="13" xfId="8" applyFont="1" applyBorder="1" applyAlignment="1">
      <alignment horizontal="center" vertical="center"/>
    </xf>
    <xf numFmtId="0" fontId="10" fillId="0" borderId="74" xfId="8" applyFont="1" applyBorder="1" applyAlignment="1">
      <alignment horizontal="center" vertical="center" wrapText="1"/>
    </xf>
    <xf numFmtId="0" fontId="6" fillId="0" borderId="0" xfId="8" applyFont="1" applyAlignment="1">
      <alignment horizontal="center" vertical="center"/>
    </xf>
    <xf numFmtId="0" fontId="22" fillId="0" borderId="0" xfId="8" applyFont="1" applyAlignment="1">
      <alignment horizontal="center" vertical="center"/>
    </xf>
    <xf numFmtId="0" fontId="22" fillId="0" borderId="0" xfId="8" applyFont="1" applyAlignment="1">
      <alignment horizontal="center" vertical="center" wrapText="1"/>
    </xf>
    <xf numFmtId="0" fontId="22" fillId="18" borderId="39" xfId="8" applyFont="1" applyFill="1" applyBorder="1" applyAlignment="1">
      <alignment horizontal="center" vertical="center"/>
    </xf>
    <xf numFmtId="0" fontId="22" fillId="0" borderId="4" xfId="8" applyFont="1" applyBorder="1" applyAlignment="1">
      <alignment horizontal="center" vertical="center" wrapText="1"/>
    </xf>
    <xf numFmtId="0" fontId="22" fillId="0" borderId="1" xfId="8" applyFont="1" applyBorder="1" applyAlignment="1">
      <alignment horizontal="center" vertical="center"/>
    </xf>
    <xf numFmtId="0" fontId="22" fillId="0" borderId="4" xfId="8" applyFont="1" applyBorder="1" applyAlignment="1">
      <alignment horizontal="center" vertical="center"/>
    </xf>
    <xf numFmtId="0" fontId="22" fillId="0" borderId="1" xfId="8" applyFont="1" applyBorder="1" applyAlignment="1">
      <alignment horizontal="center" vertical="center" wrapText="1"/>
    </xf>
    <xf numFmtId="0" fontId="22" fillId="5" borderId="13" xfId="8" applyFont="1" applyFill="1" applyBorder="1" applyAlignment="1">
      <alignment horizontal="center" vertical="center"/>
    </xf>
    <xf numFmtId="49" fontId="22" fillId="5" borderId="13" xfId="8" applyNumberFormat="1" applyFont="1" applyFill="1" applyBorder="1" applyAlignment="1">
      <alignment horizontal="center" vertical="center"/>
    </xf>
    <xf numFmtId="0" fontId="22" fillId="6" borderId="9" xfId="8" applyFont="1" applyFill="1" applyBorder="1" applyAlignment="1">
      <alignment horizontal="center" vertical="center"/>
    </xf>
    <xf numFmtId="0" fontId="22" fillId="6" borderId="19" xfId="8" applyFont="1" applyFill="1" applyBorder="1" applyAlignment="1">
      <alignment horizontal="center" vertical="center"/>
    </xf>
    <xf numFmtId="0" fontId="22" fillId="6" borderId="1" xfId="8" applyFont="1" applyFill="1" applyBorder="1" applyAlignment="1">
      <alignment horizontal="center" vertical="center"/>
    </xf>
    <xf numFmtId="0" fontId="22" fillId="6" borderId="21" xfId="8" applyFont="1" applyFill="1" applyBorder="1" applyAlignment="1">
      <alignment horizontal="center" vertical="center" wrapText="1"/>
    </xf>
    <xf numFmtId="0" fontId="22" fillId="6" borderId="16" xfId="8" applyFont="1" applyFill="1" applyBorder="1" applyAlignment="1">
      <alignment horizontal="center" vertical="center"/>
    </xf>
    <xf numFmtId="0" fontId="22" fillId="6" borderId="89" xfId="8" applyFont="1" applyFill="1" applyBorder="1" applyAlignment="1">
      <alignment horizontal="center" vertical="center"/>
    </xf>
    <xf numFmtId="0" fontId="22" fillId="8" borderId="15" xfId="8" applyFont="1" applyFill="1" applyBorder="1" applyAlignment="1">
      <alignment horizontal="center" vertical="center" wrapText="1"/>
    </xf>
    <xf numFmtId="0" fontId="22" fillId="8" borderId="40" xfId="8" applyFont="1" applyFill="1" applyBorder="1" applyAlignment="1">
      <alignment horizontal="center" vertical="center" wrapText="1"/>
    </xf>
    <xf numFmtId="0" fontId="22" fillId="9" borderId="15" xfId="8" applyFont="1" applyFill="1" applyBorder="1" applyAlignment="1">
      <alignment horizontal="center" vertical="center"/>
    </xf>
    <xf numFmtId="49" fontId="22" fillId="9" borderId="78" xfId="8" applyNumberFormat="1" applyFont="1" applyFill="1" applyBorder="1" applyAlignment="1">
      <alignment horizontal="center" vertical="center"/>
    </xf>
    <xf numFmtId="0" fontId="22" fillId="14" borderId="9" xfId="8" applyFont="1" applyFill="1" applyBorder="1" applyAlignment="1">
      <alignment horizontal="center" vertical="center"/>
    </xf>
    <xf numFmtId="0" fontId="22" fillId="14" borderId="27" xfId="8" applyFont="1" applyFill="1" applyBorder="1" applyAlignment="1">
      <alignment horizontal="center" vertical="center"/>
    </xf>
    <xf numFmtId="0" fontId="22" fillId="10" borderId="39" xfId="8" applyFont="1" applyFill="1" applyBorder="1" applyAlignment="1">
      <alignment horizontal="center" vertical="center"/>
    </xf>
    <xf numFmtId="0" fontId="22" fillId="10" borderId="75" xfId="8" applyFont="1" applyFill="1" applyBorder="1" applyAlignment="1">
      <alignment horizontal="center" vertical="center"/>
    </xf>
    <xf numFmtId="49" fontId="22" fillId="11" borderId="9" xfId="8" applyNumberFormat="1" applyFont="1" applyFill="1" applyBorder="1" applyAlignment="1">
      <alignment horizontal="center" vertical="center"/>
    </xf>
    <xf numFmtId="49" fontId="22" fillId="11" borderId="19" xfId="8" applyNumberFormat="1" applyFont="1" applyFill="1" applyBorder="1" applyAlignment="1">
      <alignment horizontal="center" vertical="center"/>
    </xf>
    <xf numFmtId="0" fontId="22" fillId="11" borderId="6" xfId="8" applyFont="1" applyFill="1" applyBorder="1" applyAlignment="1">
      <alignment horizontal="center" vertical="center" wrapText="1"/>
    </xf>
    <xf numFmtId="0" fontId="22" fillId="11" borderId="70" xfId="8" applyFont="1" applyFill="1" applyBorder="1" applyAlignment="1">
      <alignment horizontal="center" vertical="center" wrapText="1"/>
    </xf>
    <xf numFmtId="0" fontId="22" fillId="11" borderId="1" xfId="8" applyFont="1" applyFill="1" applyBorder="1" applyAlignment="1">
      <alignment horizontal="center" vertical="center"/>
    </xf>
    <xf numFmtId="0" fontId="22" fillId="11" borderId="21" xfId="8" applyFont="1" applyFill="1" applyBorder="1" applyAlignment="1">
      <alignment horizontal="center" vertical="center"/>
    </xf>
    <xf numFmtId="0" fontId="22" fillId="11" borderId="15" xfId="8" applyFont="1" applyFill="1" applyBorder="1" applyAlignment="1">
      <alignment horizontal="center" vertical="center"/>
    </xf>
    <xf numFmtId="0" fontId="22" fillId="11" borderId="78" xfId="8" applyFont="1" applyFill="1" applyBorder="1" applyAlignment="1">
      <alignment horizontal="center" vertical="center"/>
    </xf>
    <xf numFmtId="0" fontId="22" fillId="12" borderId="16" xfId="8" applyFont="1" applyFill="1" applyBorder="1" applyAlignment="1">
      <alignment horizontal="center" vertical="center"/>
    </xf>
    <xf numFmtId="0" fontId="22" fillId="12" borderId="13" xfId="8" applyFont="1" applyFill="1" applyBorder="1" applyAlignment="1">
      <alignment horizontal="center" vertical="center"/>
    </xf>
    <xf numFmtId="0" fontId="22" fillId="12" borderId="19" xfId="8" applyFont="1" applyFill="1" applyBorder="1" applyAlignment="1">
      <alignment horizontal="center" vertical="center"/>
    </xf>
    <xf numFmtId="0" fontId="22" fillId="12" borderId="1" xfId="8" applyFont="1" applyFill="1" applyBorder="1" applyAlignment="1">
      <alignment horizontal="center" vertical="center"/>
    </xf>
    <xf numFmtId="0" fontId="22" fillId="12" borderId="5" xfId="8" applyFont="1" applyFill="1" applyBorder="1" applyAlignment="1">
      <alignment horizontal="center" vertical="center"/>
    </xf>
    <xf numFmtId="0" fontId="22" fillId="12" borderId="21" xfId="8" applyFont="1" applyFill="1" applyBorder="1" applyAlignment="1">
      <alignment horizontal="center" vertical="center"/>
    </xf>
    <xf numFmtId="0" fontId="22" fillId="12" borderId="14" xfId="8" applyFont="1" applyFill="1" applyBorder="1" applyAlignment="1">
      <alignment horizontal="center" vertical="center" wrapText="1"/>
    </xf>
    <xf numFmtId="0" fontId="22" fillId="12" borderId="25" xfId="8" applyFont="1" applyFill="1" applyBorder="1" applyAlignment="1">
      <alignment horizontal="center" vertical="center" wrapText="1"/>
    </xf>
    <xf numFmtId="0" fontId="22" fillId="13" borderId="39" xfId="8" applyFont="1" applyFill="1" applyBorder="1" applyAlignment="1">
      <alignment horizontal="center" vertical="center"/>
    </xf>
    <xf numFmtId="0" fontId="22" fillId="13" borderId="75" xfId="8" applyFont="1" applyFill="1" applyBorder="1" applyAlignment="1">
      <alignment horizontal="center" vertical="center"/>
    </xf>
    <xf numFmtId="0" fontId="22" fillId="15" borderId="39" xfId="8" applyFont="1" applyFill="1" applyBorder="1" applyAlignment="1">
      <alignment horizontal="center" vertical="center"/>
    </xf>
    <xf numFmtId="0" fontId="22" fillId="15" borderId="40" xfId="8" applyFont="1" applyFill="1" applyBorder="1" applyAlignment="1">
      <alignment horizontal="center" vertical="center"/>
    </xf>
    <xf numFmtId="0" fontId="22" fillId="16" borderId="39" xfId="8" applyFont="1" applyFill="1" applyBorder="1" applyAlignment="1">
      <alignment horizontal="center" vertical="center"/>
    </xf>
    <xf numFmtId="0" fontId="22" fillId="16" borderId="5" xfId="8" applyFont="1" applyFill="1" applyBorder="1" applyAlignment="1">
      <alignment horizontal="center" vertical="center"/>
    </xf>
    <xf numFmtId="0" fontId="22" fillId="17" borderId="39" xfId="8" applyFont="1" applyFill="1" applyBorder="1" applyAlignment="1">
      <alignment horizontal="center" vertical="center"/>
    </xf>
    <xf numFmtId="0" fontId="10" fillId="5" borderId="13" xfId="8" applyFont="1" applyFill="1" applyBorder="1" applyAlignment="1">
      <alignment horizontal="center" vertical="center" wrapText="1"/>
    </xf>
    <xf numFmtId="0" fontId="10" fillId="6" borderId="16" xfId="8" applyFont="1" applyFill="1" applyBorder="1" applyAlignment="1">
      <alignment horizontal="center" vertical="center" wrapText="1"/>
    </xf>
    <xf numFmtId="0" fontId="10" fillId="8" borderId="15" xfId="8" applyFont="1" applyFill="1" applyBorder="1" applyAlignment="1">
      <alignment horizontal="center" vertical="center" wrapText="1"/>
    </xf>
    <xf numFmtId="0" fontId="10" fillId="9" borderId="15" xfId="8" applyFont="1" applyFill="1" applyBorder="1" applyAlignment="1">
      <alignment horizontal="center" vertical="center"/>
    </xf>
    <xf numFmtId="0" fontId="10" fillId="14" borderId="9" xfId="8" applyFont="1" applyFill="1" applyBorder="1" applyAlignment="1">
      <alignment horizontal="center" vertical="center"/>
    </xf>
    <xf numFmtId="0" fontId="10" fillId="11" borderId="6" xfId="8" applyFont="1" applyFill="1" applyBorder="1" applyAlignment="1">
      <alignment horizontal="center" vertical="center" wrapText="1"/>
    </xf>
    <xf numFmtId="0" fontId="10" fillId="11" borderId="15" xfId="8" applyFont="1" applyFill="1" applyBorder="1" applyAlignment="1">
      <alignment horizontal="center" vertical="center" wrapText="1"/>
    </xf>
    <xf numFmtId="0" fontId="10" fillId="12" borderId="9" xfId="8" applyFont="1" applyFill="1" applyBorder="1" applyAlignment="1">
      <alignment horizontal="center" vertical="center" wrapText="1"/>
    </xf>
    <xf numFmtId="0" fontId="10" fillId="12" borderId="14" xfId="8" applyFont="1" applyFill="1" applyBorder="1" applyAlignment="1">
      <alignment horizontal="center" vertical="center" wrapText="1"/>
    </xf>
    <xf numFmtId="0" fontId="10" fillId="13" borderId="39" xfId="8" applyFont="1" applyFill="1" applyBorder="1" applyAlignment="1">
      <alignment horizontal="center" vertical="center" wrapText="1"/>
    </xf>
    <xf numFmtId="0" fontId="10" fillId="15" borderId="39" xfId="8" applyFont="1" applyFill="1" applyBorder="1" applyAlignment="1">
      <alignment horizontal="center" vertical="center" wrapText="1"/>
    </xf>
    <xf numFmtId="0" fontId="15" fillId="0" borderId="16" xfId="7" applyFont="1" applyBorder="1" applyAlignment="1">
      <alignment horizontal="center" vertical="center" wrapText="1"/>
    </xf>
    <xf numFmtId="0" fontId="15" fillId="0" borderId="1" xfId="7" applyFont="1" applyBorder="1" applyAlignment="1">
      <alignment horizontal="center" vertical="center"/>
    </xf>
    <xf numFmtId="49" fontId="10" fillId="0" borderId="81" xfId="8" applyNumberFormat="1" applyFont="1" applyBorder="1" applyAlignment="1">
      <alignment horizontal="center" vertical="center"/>
    </xf>
    <xf numFmtId="0" fontId="10" fillId="0" borderId="41" xfId="8" applyFont="1" applyBorder="1" applyAlignment="1">
      <alignment horizontal="center" vertical="center"/>
    </xf>
    <xf numFmtId="0" fontId="4" fillId="2" borderId="1" xfId="8" applyFont="1" applyFill="1" applyBorder="1" applyAlignment="1">
      <alignment horizontal="left" vertical="center"/>
    </xf>
    <xf numFmtId="0" fontId="4" fillId="2" borderId="1" xfId="8" applyFont="1" applyFill="1" applyBorder="1" applyAlignment="1">
      <alignment horizontal="left" vertical="center" wrapText="1"/>
    </xf>
    <xf numFmtId="176" fontId="10" fillId="0" borderId="0" xfId="1" applyNumberFormat="1" applyFont="1" applyAlignment="1">
      <alignment horizontal="left" vertical="center"/>
    </xf>
    <xf numFmtId="0" fontId="10" fillId="0" borderId="0" xfId="1" applyFont="1">
      <alignment vertical="center"/>
    </xf>
    <xf numFmtId="14" fontId="10" fillId="0" borderId="0" xfId="1" applyNumberFormat="1" applyFont="1">
      <alignment vertical="center"/>
    </xf>
    <xf numFmtId="0" fontId="10" fillId="0" borderId="8" xfId="8" applyFont="1" applyBorder="1" applyAlignment="1">
      <alignment horizontal="center" vertical="center" wrapText="1"/>
    </xf>
    <xf numFmtId="0" fontId="10" fillId="0" borderId="57" xfId="8" applyFont="1" applyBorder="1" applyAlignment="1">
      <alignment horizontal="center" vertical="center"/>
    </xf>
    <xf numFmtId="49" fontId="10" fillId="0" borderId="82" xfId="8" applyNumberFormat="1" applyFont="1" applyBorder="1" applyAlignment="1">
      <alignment horizontal="center" vertical="center"/>
    </xf>
    <xf numFmtId="0" fontId="10" fillId="0" borderId="14" xfId="8" applyFont="1" applyBorder="1" applyAlignment="1">
      <alignment horizontal="left" vertical="center"/>
    </xf>
    <xf numFmtId="0" fontId="10" fillId="0" borderId="8" xfId="8" applyFont="1" applyBorder="1" applyAlignment="1">
      <alignment horizontal="left" vertical="center"/>
    </xf>
    <xf numFmtId="0" fontId="10" fillId="0" borderId="11" xfId="8" applyFont="1" applyBorder="1" applyAlignment="1">
      <alignment horizontal="center" vertical="center" wrapText="1"/>
    </xf>
    <xf numFmtId="0" fontId="10" fillId="0" borderId="21" xfId="8" applyFont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27" fillId="2" borderId="16" xfId="7" applyFont="1" applyFill="1" applyBorder="1" applyAlignment="1">
      <alignment horizontal="center" vertical="center"/>
    </xf>
    <xf numFmtId="0" fontId="16" fillId="5" borderId="1" xfId="7" applyFont="1" applyFill="1" applyBorder="1" applyAlignment="1">
      <alignment horizontal="center" vertical="center"/>
    </xf>
    <xf numFmtId="0" fontId="16" fillId="5" borderId="16" xfId="7" applyFont="1" applyFill="1" applyBorder="1" applyAlignment="1">
      <alignment horizontal="center" vertical="center"/>
    </xf>
    <xf numFmtId="0" fontId="10" fillId="0" borderId="7" xfId="8" applyFont="1" applyBorder="1" applyAlignment="1">
      <alignment horizontal="center" vertical="center" wrapText="1"/>
    </xf>
    <xf numFmtId="0" fontId="10" fillId="0" borderId="87" xfId="8" applyFont="1" applyBorder="1" applyAlignment="1">
      <alignment horizontal="center" vertical="center" wrapText="1"/>
    </xf>
    <xf numFmtId="0" fontId="10" fillId="0" borderId="16" xfId="8" applyFont="1" applyBorder="1" applyAlignment="1">
      <alignment horizontal="left" vertical="center"/>
    </xf>
    <xf numFmtId="49" fontId="10" fillId="0" borderId="86" xfId="8" applyNumberFormat="1" applyFont="1" applyBorder="1" applyAlignment="1">
      <alignment horizontal="center" vertical="center"/>
    </xf>
    <xf numFmtId="0" fontId="10" fillId="0" borderId="82" xfId="8" applyFont="1" applyBorder="1" applyAlignment="1">
      <alignment horizontal="center" vertical="center" wrapText="1"/>
    </xf>
    <xf numFmtId="0" fontId="10" fillId="0" borderId="5" xfId="8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1" xfId="1" applyFont="1" applyBorder="1">
      <alignment vertical="center"/>
    </xf>
    <xf numFmtId="0" fontId="10" fillId="0" borderId="1" xfId="1" applyFont="1" applyBorder="1" applyAlignment="1">
      <alignment horizontal="center" vertical="center"/>
    </xf>
    <xf numFmtId="177" fontId="10" fillId="0" borderId="1" xfId="1" applyNumberFormat="1" applyFont="1" applyBorder="1" applyAlignment="1">
      <alignment horizontal="center" vertical="center"/>
    </xf>
    <xf numFmtId="0" fontId="10" fillId="0" borderId="8" xfId="1" applyFont="1" applyBorder="1">
      <alignment vertical="center"/>
    </xf>
    <xf numFmtId="0" fontId="10" fillId="0" borderId="9" xfId="1" applyFont="1" applyBorder="1">
      <alignment vertical="center"/>
    </xf>
    <xf numFmtId="0" fontId="10" fillId="0" borderId="8" xfId="1" applyFont="1" applyBorder="1" applyAlignment="1">
      <alignment horizontal="center" vertical="center"/>
    </xf>
    <xf numFmtId="177" fontId="10" fillId="0" borderId="0" xfId="1" applyNumberFormat="1" applyFont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/>
    </xf>
    <xf numFmtId="177" fontId="10" fillId="0" borderId="1" xfId="1" applyNumberFormat="1" applyFont="1" applyBorder="1">
      <alignment vertical="center"/>
    </xf>
    <xf numFmtId="0" fontId="10" fillId="2" borderId="10" xfId="1" applyFont="1" applyFill="1" applyBorder="1" applyAlignment="1">
      <alignment horizontal="center" vertical="center"/>
    </xf>
    <xf numFmtId="0" fontId="10" fillId="0" borderId="80" xfId="1" applyFont="1" applyBorder="1" applyAlignment="1">
      <alignment horizontal="center" vertical="center"/>
    </xf>
    <xf numFmtId="177" fontId="10" fillId="0" borderId="4" xfId="1" applyNumberFormat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top"/>
    </xf>
    <xf numFmtId="0" fontId="10" fillId="0" borderId="1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6" xfId="1" applyFont="1" applyBorder="1">
      <alignment vertical="center"/>
    </xf>
    <xf numFmtId="0" fontId="26" fillId="0" borderId="27" xfId="3" applyFont="1" applyBorder="1">
      <alignment vertical="center"/>
    </xf>
    <xf numFmtId="0" fontId="26" fillId="0" borderId="17" xfId="3" applyFont="1" applyBorder="1">
      <alignment vertical="center"/>
    </xf>
    <xf numFmtId="0" fontId="26" fillId="0" borderId="9" xfId="3" applyFont="1" applyBorder="1" applyAlignment="1">
      <alignment horizontal="center" vertical="center"/>
    </xf>
    <xf numFmtId="177" fontId="10" fillId="0" borderId="19" xfId="3" applyNumberFormat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177" fontId="10" fillId="0" borderId="21" xfId="1" applyNumberFormat="1" applyFont="1" applyBorder="1" applyAlignment="1">
      <alignment horizontal="center" vertical="center"/>
    </xf>
    <xf numFmtId="177" fontId="10" fillId="0" borderId="21" xfId="1" applyNumberFormat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177" fontId="10" fillId="0" borderId="23" xfId="1" applyNumberFormat="1" applyFont="1" applyBorder="1" applyAlignment="1">
      <alignment horizontal="center" vertical="center"/>
    </xf>
    <xf numFmtId="0" fontId="10" fillId="0" borderId="0" xfId="0" applyFont="1" applyAlignment="1"/>
    <xf numFmtId="178" fontId="10" fillId="0" borderId="0" xfId="4" applyNumberFormat="1" applyFont="1"/>
    <xf numFmtId="0" fontId="15" fillId="0" borderId="0" xfId="5" applyFont="1">
      <alignment vertical="center"/>
    </xf>
    <xf numFmtId="0" fontId="15" fillId="0" borderId="0" xfId="5" applyFont="1" applyAlignment="1">
      <alignment vertical="center" shrinkToFit="1"/>
    </xf>
    <xf numFmtId="0" fontId="10" fillId="0" borderId="10" xfId="2" applyFont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 shrinkToFit="1"/>
    </xf>
    <xf numFmtId="0" fontId="4" fillId="2" borderId="1" xfId="6" applyFont="1" applyFill="1" applyBorder="1" applyAlignment="1">
      <alignment vertical="center" shrinkToFit="1"/>
    </xf>
    <xf numFmtId="0" fontId="4" fillId="2" borderId="1" xfId="6" applyFont="1" applyFill="1" applyBorder="1" applyAlignment="1">
      <alignment horizontal="left" vertical="center" shrinkToFit="1"/>
    </xf>
    <xf numFmtId="0" fontId="31" fillId="0" borderId="0" xfId="5" applyFont="1">
      <alignment vertical="center"/>
    </xf>
    <xf numFmtId="0" fontId="4" fillId="0" borderId="0" xfId="5" applyFont="1">
      <alignment vertical="center"/>
    </xf>
    <xf numFmtId="0" fontId="4" fillId="0" borderId="0" xfId="3" applyFont="1" applyAlignment="1">
      <alignment horizontal="left" vertical="center" shrinkToFit="1"/>
    </xf>
    <xf numFmtId="0" fontId="28" fillId="0" borderId="10" xfId="1" applyFont="1" applyBorder="1" applyAlignment="1">
      <alignment horizontal="center" vertical="center"/>
    </xf>
    <xf numFmtId="0" fontId="4" fillId="2" borderId="1" xfId="6" applyFont="1" applyFill="1" applyBorder="1" applyAlignment="1">
      <alignment horizontal="center" vertical="center" wrapText="1" shrinkToFit="1"/>
    </xf>
    <xf numFmtId="0" fontId="4" fillId="2" borderId="1" xfId="6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 shrinkToFit="1"/>
    </xf>
    <xf numFmtId="0" fontId="4" fillId="0" borderId="0" xfId="5" applyFont="1" applyAlignment="1">
      <alignment horizontal="center" vertical="center" shrinkToFit="1"/>
    </xf>
    <xf numFmtId="0" fontId="32" fillId="0" borderId="0" xfId="5" applyFont="1" applyAlignment="1">
      <alignment horizontal="center" vertical="center" shrinkToFit="1"/>
    </xf>
    <xf numFmtId="0" fontId="32" fillId="0" borderId="0" xfId="0" applyFont="1">
      <alignment vertical="center"/>
    </xf>
    <xf numFmtId="0" fontId="32" fillId="5" borderId="1" xfId="0" applyFont="1" applyFill="1" applyBorder="1">
      <alignment vertical="center"/>
    </xf>
    <xf numFmtId="0" fontId="32" fillId="0" borderId="1" xfId="0" applyFont="1" applyBorder="1">
      <alignment vertical="center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left" vertical="top"/>
    </xf>
    <xf numFmtId="0" fontId="32" fillId="0" borderId="0" xfId="0" applyFont="1" applyAlignment="1">
      <alignment horizontal="left" vertical="top"/>
    </xf>
    <xf numFmtId="0" fontId="32" fillId="0" borderId="6" xfId="0" applyFont="1" applyBorder="1">
      <alignment vertical="center"/>
    </xf>
    <xf numFmtId="0" fontId="32" fillId="2" borderId="1" xfId="0" applyFont="1" applyFill="1" applyBorder="1">
      <alignment vertical="center"/>
    </xf>
    <xf numFmtId="0" fontId="32" fillId="10" borderId="1" xfId="0" applyFont="1" applyFill="1" applyBorder="1">
      <alignment vertical="center"/>
    </xf>
    <xf numFmtId="0" fontId="33" fillId="0" borderId="1" xfId="0" applyFont="1" applyBorder="1">
      <alignment vertical="center"/>
    </xf>
    <xf numFmtId="0" fontId="32" fillId="0" borderId="14" xfId="0" applyFont="1" applyBorder="1">
      <alignment vertical="center"/>
    </xf>
    <xf numFmtId="0" fontId="34" fillId="10" borderId="1" xfId="12" applyFill="1" applyBorder="1">
      <alignment vertical="center"/>
    </xf>
    <xf numFmtId="0" fontId="34" fillId="10" borderId="0" xfId="12" applyFill="1">
      <alignment vertical="center"/>
    </xf>
    <xf numFmtId="0" fontId="10" fillId="0" borderId="77" xfId="8" applyFont="1" applyBorder="1" applyAlignment="1">
      <alignment horizontal="center" vertical="center"/>
    </xf>
    <xf numFmtId="0" fontId="10" fillId="0" borderId="52" xfId="8" applyFont="1" applyBorder="1" applyAlignment="1">
      <alignment horizontal="center" vertical="center"/>
    </xf>
    <xf numFmtId="49" fontId="10" fillId="0" borderId="15" xfId="8" applyNumberFormat="1" applyFont="1" applyBorder="1" applyAlignment="1">
      <alignment horizontal="center" vertical="center"/>
    </xf>
    <xf numFmtId="0" fontId="10" fillId="0" borderId="71" xfId="8" applyFont="1" applyBorder="1" applyAlignment="1">
      <alignment horizontal="center" vertical="center" wrapText="1"/>
    </xf>
    <xf numFmtId="0" fontId="15" fillId="0" borderId="1" xfId="5" applyFont="1" applyBorder="1">
      <alignment vertical="center"/>
    </xf>
    <xf numFmtId="0" fontId="29" fillId="0" borderId="1" xfId="3" applyFont="1" applyBorder="1" applyAlignment="1">
      <alignment horizontal="center" vertical="center"/>
    </xf>
    <xf numFmtId="0" fontId="15" fillId="0" borderId="1" xfId="5" applyFont="1" applyBorder="1" applyAlignment="1">
      <alignment vertical="center" wrapText="1"/>
    </xf>
    <xf numFmtId="0" fontId="15" fillId="0" borderId="1" xfId="5" applyFont="1" applyBorder="1" applyAlignment="1">
      <alignment horizontal="left" vertical="center"/>
    </xf>
    <xf numFmtId="0" fontId="10" fillId="2" borderId="4" xfId="8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2" fillId="2" borderId="1" xfId="5" applyFont="1" applyFill="1" applyBorder="1" applyAlignment="1">
      <alignment horizontal="center" vertical="center"/>
    </xf>
    <xf numFmtId="0" fontId="32" fillId="0" borderId="0" xfId="5" applyFont="1" applyAlignment="1">
      <alignment horizontal="center" vertical="center"/>
    </xf>
    <xf numFmtId="0" fontId="16" fillId="2" borderId="6" xfId="7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27" fillId="0" borderId="28" xfId="7" applyFont="1" applyBorder="1" applyAlignment="1">
      <alignment horizontal="center" vertical="center"/>
    </xf>
    <xf numFmtId="0" fontId="27" fillId="0" borderId="29" xfId="7" applyFont="1" applyBorder="1" applyAlignment="1">
      <alignment horizontal="center" vertical="center"/>
    </xf>
    <xf numFmtId="0" fontId="15" fillId="2" borderId="30" xfId="7" applyFont="1" applyFill="1" applyBorder="1" applyAlignment="1">
      <alignment horizontal="center" vertical="center"/>
    </xf>
    <xf numFmtId="0" fontId="15" fillId="0" borderId="0" xfId="7" applyFont="1" applyAlignment="1">
      <alignment horizontal="center" vertical="center"/>
    </xf>
    <xf numFmtId="0" fontId="27" fillId="2" borderId="1" xfId="7" applyFont="1" applyFill="1" applyBorder="1" applyAlignment="1">
      <alignment horizontal="center" vertical="center"/>
    </xf>
    <xf numFmtId="0" fontId="39" fillId="0" borderId="0" xfId="7" applyFont="1" applyAlignment="1">
      <alignment horizontal="center" vertical="center"/>
    </xf>
    <xf numFmtId="0" fontId="15" fillId="2" borderId="92" xfId="7" applyFont="1" applyFill="1" applyBorder="1" applyAlignment="1">
      <alignment horizontal="center" vertical="center"/>
    </xf>
    <xf numFmtId="0" fontId="11" fillId="0" borderId="0" xfId="7" applyFont="1" applyAlignment="1">
      <alignment horizontal="center" vertical="center"/>
    </xf>
    <xf numFmtId="0" fontId="39" fillId="0" borderId="0" xfId="0" applyFont="1">
      <alignment vertical="center"/>
    </xf>
    <xf numFmtId="0" fontId="15" fillId="0" borderId="30" xfId="7" applyFont="1" applyBorder="1" applyAlignment="1">
      <alignment horizontal="center" vertical="center"/>
    </xf>
    <xf numFmtId="0" fontId="15" fillId="2" borderId="0" xfId="7" applyFont="1" applyFill="1" applyAlignment="1">
      <alignment horizontal="center" vertical="center"/>
    </xf>
    <xf numFmtId="0" fontId="11" fillId="0" borderId="0" xfId="0" applyFont="1" applyAlignment="1"/>
    <xf numFmtId="0" fontId="40" fillId="0" borderId="0" xfId="0" applyFont="1" applyAlignment="1">
      <alignment horizontal="center" vertical="center"/>
    </xf>
    <xf numFmtId="0" fontId="15" fillId="2" borderId="1" xfId="7" applyFont="1" applyFill="1" applyBorder="1" applyAlignment="1">
      <alignment horizontal="center" vertical="center" wrapText="1"/>
    </xf>
    <xf numFmtId="0" fontId="32" fillId="0" borderId="6" xfId="0" applyFont="1" applyBorder="1" applyAlignment="1">
      <alignment horizontal="left" vertical="center"/>
    </xf>
    <xf numFmtId="0" fontId="9" fillId="2" borderId="1" xfId="6" applyFont="1" applyFill="1" applyBorder="1" applyAlignment="1">
      <alignment horizontal="center" vertical="center" wrapText="1" shrinkToFit="1"/>
    </xf>
    <xf numFmtId="0" fontId="34" fillId="0" borderId="1" xfId="12" applyBorder="1">
      <alignment vertical="center"/>
    </xf>
    <xf numFmtId="0" fontId="32" fillId="21" borderId="1" xfId="0" applyFont="1" applyFill="1" applyBorder="1">
      <alignment vertical="center"/>
    </xf>
    <xf numFmtId="0" fontId="10" fillId="0" borderId="10" xfId="1" applyFont="1" applyBorder="1" applyAlignment="1">
      <alignment horizontal="center" vertical="center"/>
    </xf>
    <xf numFmtId="0" fontId="10" fillId="0" borderId="5" xfId="8" applyFont="1" applyBorder="1" applyAlignment="1">
      <alignment horizontal="left" vertical="center" wrapText="1"/>
    </xf>
    <xf numFmtId="49" fontId="10" fillId="0" borderId="5" xfId="8" applyNumberFormat="1" applyFont="1" applyBorder="1" applyAlignment="1">
      <alignment horizontal="center" vertical="center" wrapText="1"/>
    </xf>
    <xf numFmtId="49" fontId="10" fillId="0" borderId="70" xfId="8" applyNumberFormat="1" applyFont="1" applyBorder="1" applyAlignment="1">
      <alignment horizontal="center" vertical="center" wrapText="1"/>
    </xf>
    <xf numFmtId="0" fontId="10" fillId="2" borderId="1" xfId="8" applyFont="1" applyFill="1" applyBorder="1" applyAlignment="1">
      <alignment horizontal="left" vertical="center"/>
    </xf>
    <xf numFmtId="0" fontId="40" fillId="0" borderId="0" xfId="5" applyFont="1">
      <alignment vertical="center"/>
    </xf>
    <xf numFmtId="0" fontId="4" fillId="0" borderId="6" xfId="8" applyFont="1" applyBorder="1" applyAlignment="1">
      <alignment horizontal="left" vertical="center" wrapText="1"/>
    </xf>
    <xf numFmtId="0" fontId="39" fillId="0" borderId="0" xfId="0" applyFont="1" applyAlignment="1">
      <alignment horizontal="center" vertical="center"/>
    </xf>
    <xf numFmtId="0" fontId="4" fillId="0" borderId="1" xfId="6" applyFont="1" applyBorder="1" applyAlignment="1">
      <alignment horizontal="center" vertical="center" wrapText="1" shrinkToFit="1"/>
    </xf>
    <xf numFmtId="0" fontId="10" fillId="0" borderId="1" xfId="3" applyFont="1" applyBorder="1" applyAlignment="1">
      <alignment horizontal="center" vertical="center"/>
    </xf>
    <xf numFmtId="0" fontId="4" fillId="0" borderId="1" xfId="6" applyFont="1" applyBorder="1" applyAlignment="1">
      <alignment vertical="center" shrinkToFit="1"/>
    </xf>
    <xf numFmtId="0" fontId="4" fillId="0" borderId="1" xfId="6" applyFont="1" applyBorder="1" applyAlignment="1">
      <alignment horizontal="center" vertical="center" shrinkToFit="1"/>
    </xf>
    <xf numFmtId="0" fontId="4" fillId="0" borderId="1" xfId="3" applyFont="1" applyBorder="1" applyAlignment="1">
      <alignment horizontal="center" vertical="center" shrinkToFit="1"/>
    </xf>
    <xf numFmtId="0" fontId="4" fillId="0" borderId="1" xfId="6" applyFont="1" applyBorder="1" applyAlignment="1">
      <alignment horizontal="left" vertical="center" shrinkToFit="1"/>
    </xf>
    <xf numFmtId="0" fontId="10" fillId="0" borderId="68" xfId="8" applyFont="1" applyBorder="1" applyAlignment="1">
      <alignment horizontal="center" vertical="center"/>
    </xf>
    <xf numFmtId="0" fontId="10" fillId="0" borderId="34" xfId="8" applyFont="1" applyBorder="1" applyAlignment="1">
      <alignment horizontal="center" vertical="center"/>
    </xf>
    <xf numFmtId="0" fontId="10" fillId="0" borderId="72" xfId="8" applyFont="1" applyBorder="1" applyAlignment="1">
      <alignment horizontal="center" vertical="center"/>
    </xf>
    <xf numFmtId="49" fontId="10" fillId="0" borderId="70" xfId="8" applyNumberFormat="1" applyFont="1" applyBorder="1" applyAlignment="1">
      <alignment horizontal="center" vertical="center"/>
    </xf>
    <xf numFmtId="0" fontId="10" fillId="0" borderId="56" xfId="8" applyFont="1" applyBorder="1" applyAlignment="1">
      <alignment horizontal="center" vertical="center" wrapText="1"/>
    </xf>
    <xf numFmtId="0" fontId="10" fillId="0" borderId="72" xfId="8" applyFont="1" applyBorder="1" applyAlignment="1">
      <alignment vertical="center" wrapText="1"/>
    </xf>
    <xf numFmtId="0" fontId="10" fillId="0" borderId="15" xfId="8" applyFont="1" applyBorder="1">
      <alignment vertical="center"/>
    </xf>
    <xf numFmtId="0" fontId="10" fillId="0" borderId="78" xfId="8" applyFont="1" applyBorder="1">
      <alignment vertical="center"/>
    </xf>
    <xf numFmtId="49" fontId="10" fillId="0" borderId="75" xfId="8" applyNumberFormat="1" applyFont="1" applyBorder="1" applyAlignment="1">
      <alignment horizontal="center" vertical="center"/>
    </xf>
    <xf numFmtId="0" fontId="28" fillId="2" borderId="8" xfId="1" applyFont="1" applyFill="1" applyBorder="1" applyAlignment="1">
      <alignment horizontal="center" vertical="center"/>
    </xf>
    <xf numFmtId="0" fontId="10" fillId="2" borderId="6" xfId="8" applyFont="1" applyFill="1" applyBorder="1" applyAlignment="1">
      <alignment horizontal="left" vertical="center"/>
    </xf>
    <xf numFmtId="0" fontId="10" fillId="0" borderId="2" xfId="8" applyFont="1" applyBorder="1" applyAlignment="1">
      <alignment horizontal="center" vertical="center" wrapText="1"/>
    </xf>
    <xf numFmtId="0" fontId="10" fillId="0" borderId="1" xfId="8" applyFont="1" applyBorder="1" applyAlignment="1">
      <alignment horizontal="left" vertical="center"/>
    </xf>
    <xf numFmtId="49" fontId="10" fillId="0" borderId="20" xfId="8" applyNumberFormat="1" applyFont="1" applyBorder="1" applyAlignment="1">
      <alignment horizontal="center" vertical="center"/>
    </xf>
    <xf numFmtId="0" fontId="15" fillId="2" borderId="32" xfId="7" applyFont="1" applyFill="1" applyBorder="1" applyAlignment="1">
      <alignment horizontal="center" vertical="center"/>
    </xf>
    <xf numFmtId="0" fontId="27" fillId="2" borderId="33" xfId="7" applyFont="1" applyFill="1" applyBorder="1" applyAlignment="1">
      <alignment horizontal="center" vertical="center"/>
    </xf>
    <xf numFmtId="0" fontId="16" fillId="2" borderId="33" xfId="7" applyFont="1" applyFill="1" applyBorder="1" applyAlignment="1">
      <alignment horizontal="center" vertical="center"/>
    </xf>
    <xf numFmtId="0" fontId="15" fillId="2" borderId="33" xfId="7" applyFont="1" applyFill="1" applyBorder="1" applyAlignment="1">
      <alignment horizontal="center" vertical="center"/>
    </xf>
    <xf numFmtId="0" fontId="44" fillId="2" borderId="9" xfId="8" applyFont="1" applyFill="1" applyBorder="1" applyAlignment="1">
      <alignment horizontal="center" vertical="center"/>
    </xf>
    <xf numFmtId="0" fontId="44" fillId="2" borderId="9" xfId="8" applyFont="1" applyFill="1" applyBorder="1" applyAlignment="1">
      <alignment horizontal="center" vertical="center" wrapText="1"/>
    </xf>
    <xf numFmtId="49" fontId="44" fillId="2" borderId="9" xfId="8" applyNumberFormat="1" applyFont="1" applyFill="1" applyBorder="1" applyAlignment="1">
      <alignment horizontal="center" vertical="center"/>
    </xf>
    <xf numFmtId="49" fontId="44" fillId="2" borderId="19" xfId="8" applyNumberFormat="1" applyFont="1" applyFill="1" applyBorder="1" applyAlignment="1">
      <alignment horizontal="center" vertical="center"/>
    </xf>
    <xf numFmtId="0" fontId="45" fillId="2" borderId="1" xfId="8" applyFont="1" applyFill="1" applyBorder="1" applyAlignment="1">
      <alignment horizontal="center" vertical="center"/>
    </xf>
    <xf numFmtId="0" fontId="45" fillId="2" borderId="1" xfId="8" applyFont="1" applyFill="1" applyBorder="1" applyAlignment="1">
      <alignment horizontal="center" vertical="center" wrapText="1"/>
    </xf>
    <xf numFmtId="49" fontId="45" fillId="2" borderId="1" xfId="8" applyNumberFormat="1" applyFont="1" applyFill="1" applyBorder="1" applyAlignment="1">
      <alignment horizontal="center" vertical="center"/>
    </xf>
    <xf numFmtId="49" fontId="45" fillId="2" borderId="21" xfId="8" applyNumberFormat="1" applyFont="1" applyFill="1" applyBorder="1" applyAlignment="1">
      <alignment horizontal="center" vertical="center"/>
    </xf>
    <xf numFmtId="49" fontId="45" fillId="2" borderId="21" xfId="8" applyNumberFormat="1" applyFont="1" applyFill="1" applyBorder="1" applyAlignment="1">
      <alignment horizontal="center" vertical="center" wrapText="1"/>
    </xf>
    <xf numFmtId="0" fontId="45" fillId="2" borderId="21" xfId="8" applyFont="1" applyFill="1" applyBorder="1" applyAlignment="1">
      <alignment horizontal="center" vertical="center"/>
    </xf>
    <xf numFmtId="0" fontId="45" fillId="2" borderId="21" xfId="8" applyFont="1" applyFill="1" applyBorder="1" applyAlignment="1">
      <alignment horizontal="center" vertical="center" wrapText="1"/>
    </xf>
    <xf numFmtId="0" fontId="45" fillId="20" borderId="1" xfId="8" applyFont="1" applyFill="1" applyBorder="1" applyAlignment="1">
      <alignment horizontal="center" vertical="center" wrapText="1"/>
    </xf>
    <xf numFmtId="0" fontId="45" fillId="2" borderId="1" xfId="8" applyFont="1" applyFill="1" applyBorder="1" applyAlignment="1">
      <alignment vertical="center" wrapText="1"/>
    </xf>
    <xf numFmtId="0" fontId="45" fillId="2" borderId="1" xfId="8" applyFont="1" applyFill="1" applyBorder="1">
      <alignment vertical="center"/>
    </xf>
    <xf numFmtId="0" fontId="45" fillId="2" borderId="16" xfId="8" applyFont="1" applyFill="1" applyBorder="1" applyAlignment="1">
      <alignment horizontal="center" vertical="center"/>
    </xf>
    <xf numFmtId="0" fontId="45" fillId="2" borderId="16" xfId="8" applyFont="1" applyFill="1" applyBorder="1" applyAlignment="1">
      <alignment horizontal="center" vertical="center" wrapText="1"/>
    </xf>
    <xf numFmtId="49" fontId="45" fillId="2" borderId="89" xfId="8" applyNumberFormat="1" applyFont="1" applyFill="1" applyBorder="1" applyAlignment="1">
      <alignment horizontal="center" vertical="center"/>
    </xf>
    <xf numFmtId="0" fontId="45" fillId="19" borderId="1" xfId="8" applyFont="1" applyFill="1" applyBorder="1" applyAlignment="1">
      <alignment horizontal="center" vertical="center"/>
    </xf>
    <xf numFmtId="49" fontId="45" fillId="19" borderId="1" xfId="8" applyNumberFormat="1" applyFont="1" applyFill="1" applyBorder="1" applyAlignment="1">
      <alignment horizontal="center" vertical="center"/>
    </xf>
    <xf numFmtId="0" fontId="45" fillId="19" borderId="16" xfId="8" applyFont="1" applyFill="1" applyBorder="1" applyAlignment="1">
      <alignment horizontal="center" vertical="center" wrapText="1"/>
    </xf>
    <xf numFmtId="0" fontId="45" fillId="10" borderId="1" xfId="8" applyFont="1" applyFill="1" applyBorder="1" applyAlignment="1">
      <alignment horizontal="center" vertical="center" wrapText="1"/>
    </xf>
    <xf numFmtId="0" fontId="45" fillId="10" borderId="1" xfId="8" applyFont="1" applyFill="1" applyBorder="1" applyAlignment="1">
      <alignment horizontal="center" vertical="center"/>
    </xf>
    <xf numFmtId="0" fontId="45" fillId="22" borderId="1" xfId="8" applyFont="1" applyFill="1" applyBorder="1" applyAlignment="1">
      <alignment horizontal="center" vertical="center"/>
    </xf>
    <xf numFmtId="0" fontId="45" fillId="2" borderId="6" xfId="8" applyFont="1" applyFill="1" applyBorder="1" applyAlignment="1">
      <alignment horizontal="center" vertical="center" wrapText="1"/>
    </xf>
    <xf numFmtId="0" fontId="45" fillId="2" borderId="6" xfId="8" applyFont="1" applyFill="1" applyBorder="1" applyAlignment="1">
      <alignment horizontal="center" vertical="center"/>
    </xf>
    <xf numFmtId="0" fontId="45" fillId="2" borderId="25" xfId="8" applyFont="1" applyFill="1" applyBorder="1" applyAlignment="1">
      <alignment horizontal="center" vertical="center"/>
    </xf>
    <xf numFmtId="0" fontId="45" fillId="2" borderId="15" xfId="8" applyFont="1" applyFill="1" applyBorder="1" applyAlignment="1">
      <alignment horizontal="center" vertical="center"/>
    </xf>
    <xf numFmtId="0" fontId="45" fillId="2" borderId="15" xfId="8" applyFont="1" applyFill="1" applyBorder="1" applyAlignment="1">
      <alignment horizontal="center" vertical="center" wrapText="1"/>
    </xf>
    <xf numFmtId="0" fontId="45" fillId="2" borderId="56" xfId="8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21" fillId="0" borderId="0" xfId="8" applyFont="1" applyAlignment="1">
      <alignment horizontal="right" vertical="center"/>
    </xf>
    <xf numFmtId="0" fontId="30" fillId="0" borderId="0" xfId="8" applyFont="1" applyAlignment="1">
      <alignment horizontal="center" vertical="center"/>
    </xf>
    <xf numFmtId="14" fontId="21" fillId="0" borderId="0" xfId="8" applyNumberFormat="1" applyFont="1" applyAlignment="1">
      <alignment horizontal="center" vertical="center"/>
    </xf>
    <xf numFmtId="0" fontId="21" fillId="20" borderId="1" xfId="8" applyFont="1" applyFill="1" applyBorder="1" applyAlignment="1">
      <alignment horizontal="center" vertical="center" wrapText="1"/>
    </xf>
    <xf numFmtId="0" fontId="21" fillId="0" borderId="0" xfId="8" applyFont="1" applyAlignment="1">
      <alignment horizontal="center" vertical="center" wrapText="1"/>
    </xf>
    <xf numFmtId="0" fontId="46" fillId="0" borderId="0" xfId="8" applyFont="1" applyAlignment="1">
      <alignment horizontal="center" vertical="center"/>
    </xf>
    <xf numFmtId="0" fontId="47" fillId="0" borderId="0" xfId="8" applyFont="1" applyAlignment="1">
      <alignment horizontal="center" vertical="center"/>
    </xf>
    <xf numFmtId="0" fontId="4" fillId="0" borderId="1" xfId="8" applyFont="1" applyBorder="1" applyAlignment="1">
      <alignment horizontal="left" vertical="center" wrapText="1"/>
    </xf>
    <xf numFmtId="0" fontId="45" fillId="0" borderId="1" xfId="8" applyFont="1" applyBorder="1" applyAlignment="1">
      <alignment horizontal="center" vertical="center" wrapText="1"/>
    </xf>
    <xf numFmtId="0" fontId="45" fillId="0" borderId="1" xfId="8" applyFont="1" applyBorder="1" applyAlignment="1">
      <alignment horizontal="center" vertical="center"/>
    </xf>
    <xf numFmtId="0" fontId="21" fillId="2" borderId="1" xfId="8" applyFont="1" applyFill="1" applyBorder="1" applyAlignment="1">
      <alignment horizontal="center" vertical="center"/>
    </xf>
    <xf numFmtId="0" fontId="21" fillId="0" borderId="1" xfId="8" applyFont="1" applyBorder="1" applyAlignment="1">
      <alignment horizontal="center" vertical="center" wrapText="1"/>
    </xf>
    <xf numFmtId="0" fontId="21" fillId="2" borderId="16" xfId="8" applyFont="1" applyFill="1" applyBorder="1" applyAlignment="1">
      <alignment horizontal="center" vertical="center" wrapText="1"/>
    </xf>
    <xf numFmtId="49" fontId="21" fillId="2" borderId="1" xfId="8" applyNumberFormat="1" applyFont="1" applyFill="1" applyBorder="1" applyAlignment="1">
      <alignment horizontal="center" vertical="center"/>
    </xf>
    <xf numFmtId="0" fontId="21" fillId="10" borderId="1" xfId="8" applyFont="1" applyFill="1" applyBorder="1" applyAlignment="1">
      <alignment horizontal="center" vertical="center" wrapText="1"/>
    </xf>
    <xf numFmtId="0" fontId="21" fillId="2" borderId="6" xfId="8" applyFont="1" applyFill="1" applyBorder="1" applyAlignment="1">
      <alignment horizontal="center" vertical="center" wrapText="1"/>
    </xf>
    <xf numFmtId="0" fontId="21" fillId="2" borderId="15" xfId="8" applyFont="1" applyFill="1" applyBorder="1" applyAlignment="1">
      <alignment horizontal="center" vertical="center" wrapText="1"/>
    </xf>
    <xf numFmtId="0" fontId="21" fillId="0" borderId="0" xfId="8" applyFont="1" applyAlignment="1">
      <alignment horizontal="center" vertical="center"/>
    </xf>
    <xf numFmtId="0" fontId="21" fillId="18" borderId="39" xfId="8" applyFont="1" applyFill="1" applyBorder="1" applyAlignment="1">
      <alignment horizontal="center" vertical="center" wrapText="1"/>
    </xf>
    <xf numFmtId="0" fontId="21" fillId="5" borderId="13" xfId="8" applyFont="1" applyFill="1" applyBorder="1" applyAlignment="1">
      <alignment horizontal="center" vertical="center" wrapText="1"/>
    </xf>
    <xf numFmtId="0" fontId="21" fillId="6" borderId="9" xfId="8" applyFont="1" applyFill="1" applyBorder="1" applyAlignment="1">
      <alignment horizontal="center" vertical="center" wrapText="1"/>
    </xf>
    <xf numFmtId="0" fontId="21" fillId="6" borderId="6" xfId="8" applyFont="1" applyFill="1" applyBorder="1" applyAlignment="1">
      <alignment horizontal="center" vertical="center" wrapText="1"/>
    </xf>
    <xf numFmtId="0" fontId="21" fillId="6" borderId="16" xfId="8" applyFont="1" applyFill="1" applyBorder="1" applyAlignment="1">
      <alignment horizontal="center" vertical="center" wrapText="1"/>
    </xf>
    <xf numFmtId="0" fontId="21" fillId="8" borderId="15" xfId="8" applyFont="1" applyFill="1" applyBorder="1" applyAlignment="1">
      <alignment horizontal="center" vertical="center" wrapText="1"/>
    </xf>
    <xf numFmtId="0" fontId="21" fillId="9" borderId="15" xfId="8" applyFont="1" applyFill="1" applyBorder="1" applyAlignment="1">
      <alignment horizontal="center" vertical="center" wrapText="1"/>
    </xf>
    <xf numFmtId="0" fontId="21" fillId="14" borderId="9" xfId="8" applyFont="1" applyFill="1" applyBorder="1" applyAlignment="1">
      <alignment horizontal="center" vertical="center" wrapText="1"/>
    </xf>
    <xf numFmtId="0" fontId="21" fillId="10" borderId="39" xfId="8" applyFont="1" applyFill="1" applyBorder="1" applyAlignment="1">
      <alignment horizontal="center" vertical="center" wrapText="1"/>
    </xf>
    <xf numFmtId="49" fontId="21" fillId="11" borderId="9" xfId="8" applyNumberFormat="1" applyFont="1" applyFill="1" applyBorder="1" applyAlignment="1">
      <alignment horizontal="center" vertical="center"/>
    </xf>
    <xf numFmtId="0" fontId="21" fillId="11" borderId="6" xfId="8" applyFont="1" applyFill="1" applyBorder="1" applyAlignment="1">
      <alignment horizontal="center" vertical="center" wrapText="1"/>
    </xf>
    <xf numFmtId="0" fontId="21" fillId="11" borderId="1" xfId="8" applyFont="1" applyFill="1" applyBorder="1" applyAlignment="1">
      <alignment horizontal="center" vertical="center" wrapText="1"/>
    </xf>
    <xf numFmtId="0" fontId="21" fillId="12" borderId="9" xfId="8" applyFont="1" applyFill="1" applyBorder="1" applyAlignment="1">
      <alignment horizontal="center" vertical="center" wrapText="1"/>
    </xf>
    <xf numFmtId="0" fontId="21" fillId="12" borderId="6" xfId="8" applyFont="1" applyFill="1" applyBorder="1" applyAlignment="1">
      <alignment horizontal="center" vertical="center" wrapText="1"/>
    </xf>
    <xf numFmtId="0" fontId="21" fillId="12" borderId="1" xfId="8" applyFont="1" applyFill="1" applyBorder="1" applyAlignment="1">
      <alignment horizontal="center" vertical="center" wrapText="1"/>
    </xf>
    <xf numFmtId="0" fontId="21" fillId="12" borderId="14" xfId="8" applyFont="1" applyFill="1" applyBorder="1" applyAlignment="1">
      <alignment horizontal="center" vertical="center" wrapText="1"/>
    </xf>
    <xf numFmtId="0" fontId="21" fillId="13" borderId="39" xfId="8" applyFont="1" applyFill="1" applyBorder="1" applyAlignment="1">
      <alignment horizontal="center" vertical="center" wrapText="1"/>
    </xf>
    <xf numFmtId="0" fontId="21" fillId="15" borderId="39" xfId="8" applyFont="1" applyFill="1" applyBorder="1" applyAlignment="1">
      <alignment horizontal="center" vertical="center" wrapText="1"/>
    </xf>
    <xf numFmtId="0" fontId="21" fillId="16" borderId="39" xfId="8" applyFont="1" applyFill="1" applyBorder="1" applyAlignment="1">
      <alignment horizontal="center" vertical="center" wrapText="1"/>
    </xf>
    <xf numFmtId="0" fontId="21" fillId="17" borderId="39" xfId="8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vertical="center" wrapText="1"/>
    </xf>
    <xf numFmtId="0" fontId="30" fillId="2" borderId="18" xfId="8" applyFont="1" applyFill="1" applyBorder="1" applyAlignment="1">
      <alignment horizontal="center" vertical="center"/>
    </xf>
    <xf numFmtId="0" fontId="30" fillId="2" borderId="9" xfId="8" applyFont="1" applyFill="1" applyBorder="1" applyAlignment="1">
      <alignment horizontal="center" vertical="center"/>
    </xf>
    <xf numFmtId="0" fontId="21" fillId="2" borderId="20" xfId="8" applyFont="1" applyFill="1" applyBorder="1" applyAlignment="1">
      <alignment horizontal="center" vertical="center"/>
    </xf>
    <xf numFmtId="179" fontId="21" fillId="2" borderId="1" xfId="8" applyNumberFormat="1" applyFont="1" applyFill="1" applyBorder="1" applyAlignment="1">
      <alignment horizontal="center" vertical="center" wrapText="1"/>
    </xf>
    <xf numFmtId="179" fontId="21" fillId="20" borderId="1" xfId="8" applyNumberFormat="1" applyFont="1" applyFill="1" applyBorder="1" applyAlignment="1">
      <alignment horizontal="center" vertical="center" wrapText="1"/>
    </xf>
    <xf numFmtId="0" fontId="21" fillId="20" borderId="1" xfId="8" applyFont="1" applyFill="1" applyBorder="1" applyAlignment="1">
      <alignment horizontal="center" vertical="center"/>
    </xf>
    <xf numFmtId="49" fontId="21" fillId="2" borderId="1" xfId="8" applyNumberFormat="1" applyFont="1" applyFill="1" applyBorder="1" applyAlignment="1">
      <alignment horizontal="center" vertical="center" wrapText="1"/>
    </xf>
    <xf numFmtId="49" fontId="21" fillId="10" borderId="1" xfId="8" applyNumberFormat="1" applyFont="1" applyFill="1" applyBorder="1" applyAlignment="1">
      <alignment horizontal="center" vertical="center" wrapText="1"/>
    </xf>
    <xf numFmtId="0" fontId="21" fillId="10" borderId="1" xfId="8" applyFont="1" applyFill="1" applyBorder="1" applyAlignment="1">
      <alignment horizontal="center" vertical="center"/>
    </xf>
    <xf numFmtId="49" fontId="21" fillId="2" borderId="6" xfId="8" applyNumberFormat="1" applyFont="1" applyFill="1" applyBorder="1" applyAlignment="1">
      <alignment horizontal="center" vertical="center" wrapText="1"/>
    </xf>
    <xf numFmtId="0" fontId="21" fillId="2" borderId="6" xfId="8" applyFont="1" applyFill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1" fillId="10" borderId="20" xfId="8" applyFont="1" applyFill="1" applyBorder="1" applyAlignment="1">
      <alignment horizontal="center" vertical="center"/>
    </xf>
    <xf numFmtId="0" fontId="21" fillId="2" borderId="77" xfId="8" applyFont="1" applyFill="1" applyBorder="1" applyAlignment="1">
      <alignment horizontal="center" vertical="center"/>
    </xf>
    <xf numFmtId="0" fontId="21" fillId="5" borderId="35" xfId="8" applyFont="1" applyFill="1" applyBorder="1" applyAlignment="1">
      <alignment horizontal="center" vertical="center"/>
    </xf>
    <xf numFmtId="0" fontId="21" fillId="5" borderId="36" xfId="8" applyFont="1" applyFill="1" applyBorder="1" applyAlignment="1">
      <alignment horizontal="center" vertical="center"/>
    </xf>
    <xf numFmtId="0" fontId="21" fillId="0" borderId="41" xfId="8" applyFont="1" applyBorder="1" applyAlignment="1">
      <alignment horizontal="center" vertical="center"/>
    </xf>
    <xf numFmtId="0" fontId="21" fillId="0" borderId="44" xfId="8" applyFont="1" applyBorder="1" applyAlignment="1">
      <alignment horizontal="center" vertical="center"/>
    </xf>
    <xf numFmtId="0" fontId="21" fillId="0" borderId="45" xfId="8" applyFont="1" applyBorder="1" applyAlignment="1">
      <alignment horizontal="center" vertical="center"/>
    </xf>
    <xf numFmtId="0" fontId="21" fillId="0" borderId="46" xfId="8" applyFont="1" applyBorder="1" applyAlignment="1">
      <alignment horizontal="center" vertical="center"/>
    </xf>
    <xf numFmtId="0" fontId="21" fillId="0" borderId="42" xfId="8" applyFont="1" applyBorder="1" applyAlignment="1">
      <alignment horizontal="center" vertical="center"/>
    </xf>
    <xf numFmtId="0" fontId="21" fillId="0" borderId="83" xfId="8" applyFont="1" applyBorder="1" applyAlignment="1">
      <alignment horizontal="center" vertical="center" wrapText="1"/>
    </xf>
    <xf numFmtId="0" fontId="21" fillId="0" borderId="84" xfId="8" applyFont="1" applyBorder="1" applyAlignment="1">
      <alignment horizontal="center" vertical="center" wrapText="1"/>
    </xf>
    <xf numFmtId="0" fontId="21" fillId="0" borderId="85" xfId="8" applyFont="1" applyBorder="1" applyAlignment="1">
      <alignment horizontal="center" vertical="center"/>
    </xf>
    <xf numFmtId="0" fontId="21" fillId="6" borderId="18" xfId="8" applyFont="1" applyFill="1" applyBorder="1" applyAlignment="1">
      <alignment horizontal="center" vertical="center"/>
    </xf>
    <xf numFmtId="49" fontId="21" fillId="6" borderId="37" xfId="8" applyNumberFormat="1" applyFont="1" applyFill="1" applyBorder="1" applyAlignment="1">
      <alignment horizontal="center" vertical="center"/>
    </xf>
    <xf numFmtId="0" fontId="21" fillId="6" borderId="9" xfId="8" applyFont="1" applyFill="1" applyBorder="1" applyAlignment="1">
      <alignment horizontal="center" vertical="center"/>
    </xf>
    <xf numFmtId="0" fontId="21" fillId="6" borderId="86" xfId="8" applyFont="1" applyFill="1" applyBorder="1" applyAlignment="1">
      <alignment horizontal="center" vertical="center"/>
    </xf>
    <xf numFmtId="9" fontId="21" fillId="6" borderId="87" xfId="11" applyFont="1" applyFill="1" applyBorder="1" applyAlignment="1">
      <alignment horizontal="center" vertical="center" wrapText="1"/>
    </xf>
    <xf numFmtId="0" fontId="21" fillId="6" borderId="1" xfId="8" applyFont="1" applyFill="1" applyBorder="1" applyAlignment="1">
      <alignment horizontal="center" vertical="center"/>
    </xf>
    <xf numFmtId="0" fontId="21" fillId="6" borderId="88" xfId="8" applyFont="1" applyFill="1" applyBorder="1" applyAlignment="1">
      <alignment horizontal="center" vertical="center"/>
    </xf>
    <xf numFmtId="0" fontId="21" fillId="6" borderId="10" xfId="8" applyFont="1" applyFill="1" applyBorder="1" applyAlignment="1">
      <alignment horizontal="center" vertical="center" wrapText="1"/>
    </xf>
    <xf numFmtId="0" fontId="21" fillId="6" borderId="8" xfId="8" applyFont="1" applyFill="1" applyBorder="1" applyAlignment="1">
      <alignment horizontal="center" vertical="center"/>
    </xf>
    <xf numFmtId="0" fontId="21" fillId="7" borderId="66" xfId="8" applyFont="1" applyFill="1" applyBorder="1" applyAlignment="1">
      <alignment horizontal="center" vertical="center" wrapText="1"/>
    </xf>
    <xf numFmtId="49" fontId="21" fillId="7" borderId="67" xfId="8" applyNumberFormat="1" applyFont="1" applyFill="1" applyBorder="1" applyAlignment="1">
      <alignment horizontal="center" vertical="center"/>
    </xf>
    <xf numFmtId="0" fontId="21" fillId="7" borderId="46" xfId="8" applyFont="1" applyFill="1" applyBorder="1" applyAlignment="1">
      <alignment horizontal="center" vertical="center" wrapText="1"/>
    </xf>
    <xf numFmtId="0" fontId="21" fillId="7" borderId="42" xfId="8" applyFont="1" applyFill="1" applyBorder="1" applyAlignment="1">
      <alignment horizontal="center" vertical="center"/>
    </xf>
    <xf numFmtId="0" fontId="21" fillId="8" borderId="42" xfId="8" applyFont="1" applyFill="1" applyBorder="1" applyAlignment="1">
      <alignment horizontal="center" vertical="center"/>
    </xf>
    <xf numFmtId="0" fontId="21" fillId="9" borderId="35" xfId="8" applyFont="1" applyFill="1" applyBorder="1" applyAlignment="1">
      <alignment horizontal="center" vertical="center"/>
    </xf>
    <xf numFmtId="0" fontId="21" fillId="14" borderId="58" xfId="8" applyFont="1" applyFill="1" applyBorder="1" applyAlignment="1">
      <alignment horizontal="center" vertical="center"/>
    </xf>
    <xf numFmtId="0" fontId="21" fillId="14" borderId="17" xfId="8" applyFont="1" applyFill="1" applyBorder="1" applyAlignment="1">
      <alignment horizontal="center" vertical="center"/>
    </xf>
    <xf numFmtId="0" fontId="21" fillId="14" borderId="27" xfId="8" applyFont="1" applyFill="1" applyBorder="1" applyAlignment="1">
      <alignment horizontal="center" vertical="center" wrapText="1"/>
    </xf>
    <xf numFmtId="0" fontId="21" fillId="14" borderId="9" xfId="8" applyFont="1" applyFill="1" applyBorder="1" applyAlignment="1">
      <alignment horizontal="center" vertical="center"/>
    </xf>
    <xf numFmtId="0" fontId="21" fillId="10" borderId="35" xfId="8" applyFont="1" applyFill="1" applyBorder="1" applyAlignment="1">
      <alignment horizontal="center" vertical="center"/>
    </xf>
    <xf numFmtId="0" fontId="21" fillId="10" borderId="73" xfId="8" applyFont="1" applyFill="1" applyBorder="1" applyAlignment="1">
      <alignment horizontal="center" vertical="center"/>
    </xf>
    <xf numFmtId="0" fontId="21" fillId="10" borderId="75" xfId="8" applyFont="1" applyFill="1" applyBorder="1" applyAlignment="1">
      <alignment horizontal="center" vertical="center" wrapText="1"/>
    </xf>
    <xf numFmtId="0" fontId="21" fillId="11" borderId="18" xfId="8" applyFont="1" applyFill="1" applyBorder="1" applyAlignment="1">
      <alignment horizontal="center" vertical="center"/>
    </xf>
    <xf numFmtId="0" fontId="21" fillId="11" borderId="80" xfId="8" applyFont="1" applyFill="1" applyBorder="1" applyAlignment="1">
      <alignment horizontal="center" vertical="center"/>
    </xf>
    <xf numFmtId="0" fontId="21" fillId="11" borderId="24" xfId="8" applyFont="1" applyFill="1" applyBorder="1" applyAlignment="1">
      <alignment horizontal="center" vertical="center" wrapText="1"/>
    </xf>
    <xf numFmtId="49" fontId="21" fillId="11" borderId="6" xfId="8" applyNumberFormat="1" applyFont="1" applyFill="1" applyBorder="1" applyAlignment="1">
      <alignment horizontal="center" vertical="center" wrapText="1"/>
    </xf>
    <xf numFmtId="0" fontId="21" fillId="11" borderId="69" xfId="8" applyFont="1" applyFill="1" applyBorder="1" applyAlignment="1">
      <alignment horizontal="center" vertical="center"/>
    </xf>
    <xf numFmtId="0" fontId="21" fillId="11" borderId="0" xfId="8" applyFont="1" applyFill="1" applyAlignment="1">
      <alignment horizontal="center" vertical="center"/>
    </xf>
    <xf numFmtId="49" fontId="21" fillId="11" borderId="16" xfId="8" applyNumberFormat="1" applyFont="1" applyFill="1" applyBorder="1" applyAlignment="1">
      <alignment horizontal="center" vertical="center"/>
    </xf>
    <xf numFmtId="0" fontId="21" fillId="11" borderId="1" xfId="8" applyFont="1" applyFill="1" applyBorder="1" applyAlignment="1">
      <alignment horizontal="center" vertical="center"/>
    </xf>
    <xf numFmtId="0" fontId="21" fillId="11" borderId="20" xfId="8" applyFont="1" applyFill="1" applyBorder="1" applyAlignment="1">
      <alignment horizontal="center" vertical="center"/>
    </xf>
    <xf numFmtId="49" fontId="21" fillId="11" borderId="1" xfId="8" applyNumberFormat="1" applyFont="1" applyFill="1" applyBorder="1" applyAlignment="1">
      <alignment horizontal="center" vertical="center"/>
    </xf>
    <xf numFmtId="0" fontId="21" fillId="11" borderId="77" xfId="8" applyFont="1" applyFill="1" applyBorder="1" applyAlignment="1">
      <alignment horizontal="center" vertical="center"/>
    </xf>
    <xf numFmtId="49" fontId="21" fillId="11" borderId="15" xfId="8" applyNumberFormat="1" applyFont="1" applyFill="1" applyBorder="1" applyAlignment="1">
      <alignment horizontal="center" vertical="center"/>
    </xf>
    <xf numFmtId="0" fontId="21" fillId="11" borderId="15" xfId="8" applyFont="1" applyFill="1" applyBorder="1" applyAlignment="1">
      <alignment horizontal="center" vertical="center"/>
    </xf>
    <xf numFmtId="0" fontId="21" fillId="12" borderId="18" xfId="8" applyFont="1" applyFill="1" applyBorder="1" applyAlignment="1">
      <alignment horizontal="center" vertical="center" wrapText="1"/>
    </xf>
    <xf numFmtId="179" fontId="21" fillId="12" borderId="64" xfId="8" applyNumberFormat="1" applyFont="1" applyFill="1" applyBorder="1" applyAlignment="1">
      <alignment horizontal="center" vertical="center" wrapText="1"/>
    </xf>
    <xf numFmtId="0" fontId="21" fillId="12" borderId="16" xfId="8" applyFont="1" applyFill="1" applyBorder="1" applyAlignment="1">
      <alignment horizontal="center" vertical="center"/>
    </xf>
    <xf numFmtId="0" fontId="21" fillId="12" borderId="20" xfId="8" applyFont="1" applyFill="1" applyBorder="1" applyAlignment="1">
      <alignment horizontal="center" vertical="center" wrapText="1"/>
    </xf>
    <xf numFmtId="49" fontId="21" fillId="12" borderId="16" xfId="8" applyNumberFormat="1" applyFont="1" applyFill="1" applyBorder="1" applyAlignment="1">
      <alignment horizontal="center" vertical="center" wrapText="1"/>
    </xf>
    <xf numFmtId="0" fontId="21" fillId="12" borderId="1" xfId="8" applyFont="1" applyFill="1" applyBorder="1" applyAlignment="1">
      <alignment horizontal="center" vertical="center"/>
    </xf>
    <xf numFmtId="179" fontId="21" fillId="12" borderId="16" xfId="8" applyNumberFormat="1" applyFont="1" applyFill="1" applyBorder="1" applyAlignment="1">
      <alignment horizontal="center" vertical="center" wrapText="1"/>
    </xf>
    <xf numFmtId="49" fontId="21" fillId="12" borderId="8" xfId="8" applyNumberFormat="1" applyFont="1" applyFill="1" applyBorder="1" applyAlignment="1">
      <alignment horizontal="center" vertical="center" wrapText="1"/>
    </xf>
    <xf numFmtId="0" fontId="21" fillId="12" borderId="8" xfId="8" applyFont="1" applyFill="1" applyBorder="1" applyAlignment="1">
      <alignment horizontal="center" vertical="center"/>
    </xf>
    <xf numFmtId="0" fontId="21" fillId="13" borderId="35" xfId="8" applyFont="1" applyFill="1" applyBorder="1" applyAlignment="1">
      <alignment horizontal="center" vertical="center"/>
    </xf>
    <xf numFmtId="0" fontId="21" fillId="13" borderId="38" xfId="8" applyFont="1" applyFill="1" applyBorder="1" applyAlignment="1">
      <alignment horizontal="center" vertical="center" wrapText="1"/>
    </xf>
    <xf numFmtId="0" fontId="21" fillId="13" borderId="74" xfId="8" applyFont="1" applyFill="1" applyBorder="1" applyAlignment="1">
      <alignment horizontal="center" vertical="center" wrapText="1"/>
    </xf>
    <xf numFmtId="0" fontId="21" fillId="13" borderId="8" xfId="8" applyFont="1" applyFill="1" applyBorder="1" applyAlignment="1">
      <alignment horizontal="center" vertical="center"/>
    </xf>
    <xf numFmtId="0" fontId="21" fillId="15" borderId="35" xfId="8" applyFont="1" applyFill="1" applyBorder="1" applyAlignment="1">
      <alignment horizontal="center" vertical="center"/>
    </xf>
    <xf numFmtId="0" fontId="21" fillId="15" borderId="38" xfId="8" applyFont="1" applyFill="1" applyBorder="1" applyAlignment="1">
      <alignment horizontal="center" vertical="center" wrapText="1"/>
    </xf>
    <xf numFmtId="0" fontId="21" fillId="15" borderId="0" xfId="8" applyFont="1" applyFill="1" applyAlignment="1">
      <alignment horizontal="center" vertical="center" wrapText="1"/>
    </xf>
    <xf numFmtId="0" fontId="21" fillId="16" borderId="35" xfId="8" applyFont="1" applyFill="1" applyBorder="1" applyAlignment="1">
      <alignment horizontal="center" vertical="center"/>
    </xf>
    <xf numFmtId="0" fontId="21" fillId="16" borderId="38" xfId="8" applyFont="1" applyFill="1" applyBorder="1" applyAlignment="1">
      <alignment horizontal="center" vertical="center" wrapText="1"/>
    </xf>
    <xf numFmtId="179" fontId="21" fillId="16" borderId="13" xfId="8" applyNumberFormat="1" applyFont="1" applyFill="1" applyBorder="1" applyAlignment="1">
      <alignment horizontal="center" vertical="center" wrapText="1"/>
    </xf>
    <xf numFmtId="0" fontId="21" fillId="17" borderId="35" xfId="8" applyFont="1" applyFill="1" applyBorder="1" applyAlignment="1">
      <alignment horizontal="center" vertical="center"/>
    </xf>
    <xf numFmtId="0" fontId="10" fillId="2" borderId="1" xfId="8" applyFont="1" applyFill="1" applyBorder="1" applyAlignment="1">
      <alignment horizontal="center" vertical="center" wrapText="1"/>
    </xf>
    <xf numFmtId="0" fontId="6" fillId="2" borderId="9" xfId="8" applyFont="1" applyFill="1" applyBorder="1" applyAlignment="1">
      <alignment horizontal="center" vertical="center" wrapText="1"/>
    </xf>
    <xf numFmtId="0" fontId="45" fillId="2" borderId="1" xfId="8" applyFont="1" applyFill="1" applyBorder="1" applyAlignment="1">
      <alignment horizontal="center" vertical="top" wrapText="1"/>
    </xf>
    <xf numFmtId="14" fontId="44" fillId="0" borderId="0" xfId="8" applyNumberFormat="1" applyFont="1" applyAlignment="1">
      <alignment horizontal="center" vertical="center"/>
    </xf>
    <xf numFmtId="0" fontId="44" fillId="2" borderId="1" xfId="8" applyFont="1" applyFill="1" applyBorder="1" applyAlignment="1">
      <alignment horizontal="left" vertical="center" wrapText="1"/>
    </xf>
    <xf numFmtId="0" fontId="44" fillId="20" borderId="1" xfId="8" applyFont="1" applyFill="1" applyBorder="1" applyAlignment="1">
      <alignment horizontal="left" vertical="center" wrapText="1"/>
    </xf>
    <xf numFmtId="0" fontId="44" fillId="2" borderId="16" xfId="8" applyFont="1" applyFill="1" applyBorder="1" applyAlignment="1">
      <alignment horizontal="left" vertical="center" wrapText="1"/>
    </xf>
    <xf numFmtId="0" fontId="44" fillId="2" borderId="1" xfId="8" applyFont="1" applyFill="1" applyBorder="1" applyAlignment="1">
      <alignment horizontal="left" vertical="center"/>
    </xf>
    <xf numFmtId="49" fontId="44" fillId="2" borderId="1" xfId="8" applyNumberFormat="1" applyFont="1" applyFill="1" applyBorder="1" applyAlignment="1">
      <alignment horizontal="left" vertical="center"/>
    </xf>
    <xf numFmtId="0" fontId="44" fillId="10" borderId="1" xfId="8" applyFont="1" applyFill="1" applyBorder="1" applyAlignment="1">
      <alignment horizontal="left" vertical="center" wrapText="1"/>
    </xf>
    <xf numFmtId="0" fontId="44" fillId="2" borderId="6" xfId="8" applyFont="1" applyFill="1" applyBorder="1" applyAlignment="1">
      <alignment horizontal="left" vertical="center" wrapText="1"/>
    </xf>
    <xf numFmtId="0" fontId="44" fillId="10" borderId="1" xfId="8" applyFont="1" applyFill="1" applyBorder="1" applyAlignment="1">
      <alignment horizontal="left" vertical="center"/>
    </xf>
    <xf numFmtId="0" fontId="44" fillId="0" borderId="0" xfId="8" applyFont="1" applyAlignment="1">
      <alignment horizontal="left" vertical="center"/>
    </xf>
    <xf numFmtId="0" fontId="44" fillId="5" borderId="13" xfId="8" applyFont="1" applyFill="1" applyBorder="1" applyAlignment="1">
      <alignment horizontal="center" vertical="center" wrapText="1"/>
    </xf>
    <xf numFmtId="0" fontId="44" fillId="6" borderId="9" xfId="8" applyFont="1" applyFill="1" applyBorder="1" applyAlignment="1">
      <alignment horizontal="left" vertical="center" wrapText="1"/>
    </xf>
    <xf numFmtId="0" fontId="44" fillId="6" borderId="16" xfId="8" applyFont="1" applyFill="1" applyBorder="1" applyAlignment="1">
      <alignment horizontal="left" vertical="center" wrapText="1"/>
    </xf>
    <xf numFmtId="0" fontId="44" fillId="8" borderId="15" xfId="8" applyFont="1" applyFill="1" applyBorder="1" applyAlignment="1">
      <alignment horizontal="left" vertical="center" wrapText="1"/>
    </xf>
    <xf numFmtId="0" fontId="44" fillId="9" borderId="15" xfId="8" applyFont="1" applyFill="1" applyBorder="1" applyAlignment="1">
      <alignment horizontal="left" vertical="center"/>
    </xf>
    <xf numFmtId="0" fontId="44" fillId="14" borderId="9" xfId="8" applyFont="1" applyFill="1" applyBorder="1" applyAlignment="1">
      <alignment horizontal="left" vertical="center"/>
    </xf>
    <xf numFmtId="0" fontId="44" fillId="10" borderId="39" xfId="8" applyFont="1" applyFill="1" applyBorder="1" applyAlignment="1">
      <alignment horizontal="left" vertical="center" wrapText="1"/>
    </xf>
    <xf numFmtId="49" fontId="44" fillId="11" borderId="9" xfId="8" applyNumberFormat="1" applyFont="1" applyFill="1" applyBorder="1" applyAlignment="1">
      <alignment horizontal="left" vertical="center"/>
    </xf>
    <xf numFmtId="0" fontId="44" fillId="11" borderId="6" xfId="8" applyFont="1" applyFill="1" applyBorder="1" applyAlignment="1">
      <alignment horizontal="left" vertical="center" wrapText="1"/>
    </xf>
    <xf numFmtId="0" fontId="44" fillId="11" borderId="1" xfId="8" applyFont="1" applyFill="1" applyBorder="1" applyAlignment="1">
      <alignment horizontal="left" vertical="center" wrapText="1"/>
    </xf>
    <xf numFmtId="0" fontId="44" fillId="11" borderId="8" xfId="8" applyFont="1" applyFill="1" applyBorder="1" applyAlignment="1">
      <alignment horizontal="left" vertical="center" wrapText="1"/>
    </xf>
    <xf numFmtId="0" fontId="44" fillId="12" borderId="9" xfId="8" applyFont="1" applyFill="1" applyBorder="1" applyAlignment="1">
      <alignment horizontal="left" vertical="center" wrapText="1"/>
    </xf>
    <xf numFmtId="0" fontId="44" fillId="12" borderId="1" xfId="8" applyFont="1" applyFill="1" applyBorder="1" applyAlignment="1">
      <alignment horizontal="left" vertical="center" wrapText="1"/>
    </xf>
    <xf numFmtId="0" fontId="44" fillId="12" borderId="8" xfId="8" applyFont="1" applyFill="1" applyBorder="1" applyAlignment="1">
      <alignment horizontal="left" vertical="center" wrapText="1"/>
    </xf>
    <xf numFmtId="0" fontId="44" fillId="13" borderId="15" xfId="8" applyFont="1" applyFill="1" applyBorder="1" applyAlignment="1">
      <alignment horizontal="left" vertical="center" wrapText="1"/>
    </xf>
    <xf numFmtId="0" fontId="44" fillId="15" borderId="15" xfId="8" applyFont="1" applyFill="1" applyBorder="1" applyAlignment="1">
      <alignment horizontal="left" vertical="center" wrapText="1"/>
    </xf>
    <xf numFmtId="0" fontId="44" fillId="16" borderId="39" xfId="8" applyFont="1" applyFill="1" applyBorder="1" applyAlignment="1">
      <alignment horizontal="left" vertical="center" wrapText="1"/>
    </xf>
    <xf numFmtId="0" fontId="44" fillId="17" borderId="39" xfId="8" applyFont="1" applyFill="1" applyBorder="1" applyAlignment="1">
      <alignment horizontal="left" vertical="center"/>
    </xf>
    <xf numFmtId="0" fontId="32" fillId="2" borderId="16" xfId="7" applyFont="1" applyFill="1" applyBorder="1" applyAlignment="1">
      <alignment horizontal="center" vertical="center"/>
    </xf>
    <xf numFmtId="0" fontId="27" fillId="0" borderId="93" xfId="7" applyFont="1" applyBorder="1" applyAlignment="1">
      <alignment horizontal="center" vertical="center"/>
    </xf>
    <xf numFmtId="0" fontId="15" fillId="0" borderId="94" xfId="7" applyFont="1" applyBorder="1" applyAlignment="1">
      <alignment horizontal="center" vertical="center"/>
    </xf>
    <xf numFmtId="0" fontId="15" fillId="2" borderId="94" xfId="7" applyFont="1" applyFill="1" applyBorder="1" applyAlignment="1">
      <alignment horizontal="center" vertical="center"/>
    </xf>
    <xf numFmtId="0" fontId="15" fillId="2" borderId="95" xfId="7" applyFont="1" applyFill="1" applyBorder="1" applyAlignment="1">
      <alignment horizontal="center" vertical="center"/>
    </xf>
    <xf numFmtId="0" fontId="15" fillId="0" borderId="96" xfId="7" applyFont="1" applyBorder="1" applyAlignment="1">
      <alignment horizontal="center" vertical="center"/>
    </xf>
    <xf numFmtId="0" fontId="15" fillId="2" borderId="96" xfId="7" applyFont="1" applyFill="1" applyBorder="1" applyAlignment="1">
      <alignment horizontal="center" vertical="center"/>
    </xf>
    <xf numFmtId="0" fontId="15" fillId="2" borderId="94" xfId="7" applyFont="1" applyFill="1" applyBorder="1" applyAlignment="1">
      <alignment vertical="center"/>
    </xf>
    <xf numFmtId="0" fontId="15" fillId="0" borderId="94" xfId="0" applyFont="1" applyBorder="1" applyAlignment="1">
      <alignment horizontal="center" vertical="center"/>
    </xf>
    <xf numFmtId="0" fontId="41" fillId="0" borderId="94" xfId="0" applyFont="1" applyBorder="1">
      <alignment vertical="center"/>
    </xf>
    <xf numFmtId="0" fontId="15" fillId="2" borderId="97" xfId="7" applyFont="1" applyFill="1" applyBorder="1" applyAlignment="1">
      <alignment horizontal="center" vertical="center"/>
    </xf>
    <xf numFmtId="0" fontId="15" fillId="0" borderId="92" xfId="7" applyFont="1" applyBorder="1" applyAlignment="1">
      <alignment horizontal="center" vertical="center"/>
    </xf>
    <xf numFmtId="0" fontId="15" fillId="0" borderId="6" xfId="7" applyFont="1" applyBorder="1" applyAlignment="1">
      <alignment horizontal="center" vertical="center"/>
    </xf>
    <xf numFmtId="0" fontId="16" fillId="0" borderId="14" xfId="7" applyFont="1" applyBorder="1" applyAlignment="1">
      <alignment horizontal="center" vertical="center"/>
    </xf>
    <xf numFmtId="49" fontId="10" fillId="0" borderId="6" xfId="8" applyNumberFormat="1" applyFont="1" applyBorder="1" applyAlignment="1">
      <alignment horizontal="center" vertical="center"/>
    </xf>
    <xf numFmtId="0" fontId="15" fillId="2" borderId="98" xfId="7" applyFont="1" applyFill="1" applyBorder="1" applyAlignment="1">
      <alignment horizontal="center" vertical="center"/>
    </xf>
    <xf numFmtId="0" fontId="15" fillId="2" borderId="99" xfId="7" applyFont="1" applyFill="1" applyBorder="1" applyAlignment="1">
      <alignment horizontal="center" vertical="center"/>
    </xf>
    <xf numFmtId="0" fontId="32" fillId="5" borderId="99" xfId="7" applyFont="1" applyFill="1" applyBorder="1" applyAlignment="1">
      <alignment horizontal="center" vertical="center" wrapText="1"/>
    </xf>
    <xf numFmtId="0" fontId="15" fillId="2" borderId="100" xfId="7" applyFont="1" applyFill="1" applyBorder="1" applyAlignment="1">
      <alignment horizontal="center" vertical="center"/>
    </xf>
    <xf numFmtId="0" fontId="10" fillId="0" borderId="71" xfId="8" applyFont="1" applyBorder="1" applyAlignment="1">
      <alignment vertical="center" wrapText="1"/>
    </xf>
    <xf numFmtId="0" fontId="10" fillId="0" borderId="14" xfId="8" applyFont="1" applyBorder="1">
      <alignment vertical="center"/>
    </xf>
    <xf numFmtId="0" fontId="10" fillId="0" borderId="5" xfId="8" applyFont="1" applyBorder="1">
      <alignment vertical="center"/>
    </xf>
    <xf numFmtId="0" fontId="10" fillId="0" borderId="4" xfId="8" applyFont="1" applyBorder="1" applyAlignment="1">
      <alignment vertical="center" wrapText="1"/>
    </xf>
    <xf numFmtId="0" fontId="10" fillId="0" borderId="1" xfId="8" applyFont="1" applyBorder="1">
      <alignment vertical="center"/>
    </xf>
    <xf numFmtId="0" fontId="10" fillId="0" borderId="2" xfId="8" applyFont="1" applyBorder="1">
      <alignment vertical="center"/>
    </xf>
    <xf numFmtId="0" fontId="16" fillId="23" borderId="16" xfId="7" applyFont="1" applyFill="1" applyBorder="1" applyAlignment="1">
      <alignment horizontal="center" vertical="center"/>
    </xf>
    <xf numFmtId="0" fontId="21" fillId="24" borderId="1" xfId="8" applyFont="1" applyFill="1" applyBorder="1" applyAlignment="1">
      <alignment horizontal="center" vertical="center" wrapText="1"/>
    </xf>
    <xf numFmtId="0" fontId="44" fillId="24" borderId="1" xfId="8" applyFont="1" applyFill="1" applyBorder="1" applyAlignment="1">
      <alignment horizontal="left" vertical="center" wrapText="1"/>
    </xf>
    <xf numFmtId="0" fontId="21" fillId="24" borderId="1" xfId="8" applyFont="1" applyFill="1" applyBorder="1" applyAlignment="1">
      <alignment horizontal="center" vertical="center"/>
    </xf>
    <xf numFmtId="49" fontId="21" fillId="24" borderId="1" xfId="8" applyNumberFormat="1" applyFont="1" applyFill="1" applyBorder="1" applyAlignment="1">
      <alignment horizontal="center" vertical="center"/>
    </xf>
    <xf numFmtId="0" fontId="45" fillId="24" borderId="1" xfId="8" applyFont="1" applyFill="1" applyBorder="1" applyAlignment="1">
      <alignment horizontal="center" vertical="center" wrapText="1"/>
    </xf>
    <xf numFmtId="0" fontId="22" fillId="2" borderId="20" xfId="8" applyFont="1" applyFill="1" applyBorder="1" applyAlignment="1">
      <alignment horizontal="center" vertical="center"/>
    </xf>
    <xf numFmtId="0" fontId="30" fillId="2" borderId="1" xfId="8" applyFont="1" applyFill="1" applyBorder="1" applyAlignment="1">
      <alignment horizontal="left" vertical="center" wrapText="1"/>
    </xf>
    <xf numFmtId="0" fontId="44" fillId="2" borderId="80" xfId="8" applyFont="1" applyFill="1" applyBorder="1" applyAlignment="1">
      <alignment horizontal="center" vertical="center" wrapText="1"/>
    </xf>
    <xf numFmtId="0" fontId="45" fillId="2" borderId="4" xfId="8" applyFont="1" applyFill="1" applyBorder="1" applyAlignment="1">
      <alignment horizontal="center" vertical="center" wrapText="1"/>
    </xf>
    <xf numFmtId="0" fontId="45" fillId="2" borderId="4" xfId="8" applyFont="1" applyFill="1" applyBorder="1" applyAlignment="1">
      <alignment vertical="center" wrapText="1"/>
    </xf>
    <xf numFmtId="0" fontId="45" fillId="19" borderId="4" xfId="8" applyFont="1" applyFill="1" applyBorder="1" applyAlignment="1">
      <alignment horizontal="center" vertical="center" wrapText="1"/>
    </xf>
    <xf numFmtId="0" fontId="45" fillId="2" borderId="4" xfId="8" applyFont="1" applyFill="1" applyBorder="1" applyAlignment="1">
      <alignment horizontal="center" vertical="center"/>
    </xf>
    <xf numFmtId="0" fontId="45" fillId="22" borderId="4" xfId="8" applyFont="1" applyFill="1" applyBorder="1" applyAlignment="1">
      <alignment horizontal="center" vertical="center" wrapText="1"/>
    </xf>
    <xf numFmtId="0" fontId="45" fillId="2" borderId="69" xfId="8" applyFont="1" applyFill="1" applyBorder="1" applyAlignment="1">
      <alignment horizontal="center" vertical="center"/>
    </xf>
    <xf numFmtId="0" fontId="45" fillId="10" borderId="4" xfId="8" applyFont="1" applyFill="1" applyBorder="1" applyAlignment="1">
      <alignment horizontal="center" vertical="center" wrapText="1"/>
    </xf>
    <xf numFmtId="0" fontId="45" fillId="2" borderId="72" xfId="8" applyFont="1" applyFill="1" applyBorder="1" applyAlignment="1">
      <alignment horizontal="center" vertical="center" wrapText="1"/>
    </xf>
    <xf numFmtId="0" fontId="21" fillId="0" borderId="101" xfId="8" applyFont="1" applyBorder="1" applyAlignment="1">
      <alignment horizontal="center" vertical="center" wrapText="1"/>
    </xf>
    <xf numFmtId="0" fontId="21" fillId="20" borderId="21" xfId="8" applyFont="1" applyFill="1" applyBorder="1" applyAlignment="1">
      <alignment horizontal="center" vertical="center" wrapText="1"/>
    </xf>
    <xf numFmtId="0" fontId="45" fillId="0" borderId="21" xfId="8" applyFont="1" applyBorder="1" applyAlignment="1">
      <alignment horizontal="center" vertical="center" wrapText="1"/>
    </xf>
    <xf numFmtId="0" fontId="21" fillId="2" borderId="21" xfId="8" applyFont="1" applyFill="1" applyBorder="1" applyAlignment="1">
      <alignment horizontal="center" vertical="center" wrapText="1"/>
    </xf>
    <xf numFmtId="0" fontId="21" fillId="2" borderId="21" xfId="8" applyFont="1" applyFill="1" applyBorder="1" applyAlignment="1">
      <alignment horizontal="center" vertical="center"/>
    </xf>
    <xf numFmtId="0" fontId="45" fillId="10" borderId="21" xfId="8" applyFont="1" applyFill="1" applyBorder="1" applyAlignment="1">
      <alignment horizontal="center" vertical="center" wrapText="1"/>
    </xf>
    <xf numFmtId="49" fontId="30" fillId="2" borderId="19" xfId="8" applyNumberFormat="1" applyFont="1" applyFill="1" applyBorder="1" applyAlignment="1">
      <alignment horizontal="center" vertical="center"/>
    </xf>
    <xf numFmtId="49" fontId="21" fillId="2" borderId="21" xfId="8" applyNumberFormat="1" applyFont="1" applyFill="1" applyBorder="1" applyAlignment="1">
      <alignment horizontal="center" vertical="center"/>
    </xf>
    <xf numFmtId="49" fontId="21" fillId="2" borderId="21" xfId="8" applyNumberFormat="1" applyFont="1" applyFill="1" applyBorder="1" applyAlignment="1">
      <alignment horizontal="center" vertical="center" wrapText="1"/>
    </xf>
    <xf numFmtId="0" fontId="48" fillId="2" borderId="21" xfId="8" applyFont="1" applyFill="1" applyBorder="1" applyAlignment="1">
      <alignment horizontal="center" vertical="center" wrapText="1"/>
    </xf>
    <xf numFmtId="49" fontId="21" fillId="2" borderId="89" xfId="8" applyNumberFormat="1" applyFont="1" applyFill="1" applyBorder="1" applyAlignment="1">
      <alignment horizontal="center" vertical="center"/>
    </xf>
    <xf numFmtId="0" fontId="21" fillId="2" borderId="25" xfId="8" applyFont="1" applyFill="1" applyBorder="1" applyAlignment="1">
      <alignment horizontal="center" vertical="center"/>
    </xf>
    <xf numFmtId="0" fontId="31" fillId="0" borderId="21" xfId="8" applyFont="1" applyBorder="1" applyAlignment="1">
      <alignment horizontal="center" vertical="center" wrapText="1"/>
    </xf>
    <xf numFmtId="0" fontId="21" fillId="2" borderId="56" xfId="8" applyFont="1" applyFill="1" applyBorder="1" applyAlignment="1">
      <alignment horizontal="center" vertical="center" wrapText="1"/>
    </xf>
    <xf numFmtId="0" fontId="21" fillId="0" borderId="40" xfId="8" applyFont="1" applyBorder="1" applyAlignment="1">
      <alignment horizontal="center" vertical="center" wrapText="1"/>
    </xf>
    <xf numFmtId="0" fontId="21" fillId="2" borderId="40" xfId="8" applyFont="1" applyFill="1" applyBorder="1" applyAlignment="1">
      <alignment horizontal="center" vertical="center" wrapText="1"/>
    </xf>
    <xf numFmtId="49" fontId="21" fillId="5" borderId="40" xfId="8" applyNumberFormat="1" applyFont="1" applyFill="1" applyBorder="1" applyAlignment="1">
      <alignment horizontal="center" vertical="center"/>
    </xf>
    <xf numFmtId="0" fontId="21" fillId="0" borderId="60" xfId="8" applyFont="1" applyBorder="1" applyAlignment="1">
      <alignment horizontal="center" vertical="center"/>
    </xf>
    <xf numFmtId="0" fontId="21" fillId="0" borderId="62" xfId="8" applyFont="1" applyBorder="1" applyAlignment="1">
      <alignment horizontal="center" vertical="center"/>
    </xf>
    <xf numFmtId="49" fontId="21" fillId="0" borderId="58" xfId="8" applyNumberFormat="1" applyFont="1" applyBorder="1" applyAlignment="1">
      <alignment horizontal="center" vertical="center"/>
    </xf>
    <xf numFmtId="49" fontId="21" fillId="5" borderId="58" xfId="8" applyNumberFormat="1" applyFont="1" applyFill="1" applyBorder="1" applyAlignment="1">
      <alignment horizontal="center" vertical="center"/>
    </xf>
    <xf numFmtId="0" fontId="21" fillId="0" borderId="35" xfId="8" applyFont="1" applyBorder="1" applyAlignment="1">
      <alignment horizontal="center" vertical="center"/>
    </xf>
    <xf numFmtId="0" fontId="21" fillId="0" borderId="58" xfId="8" applyFont="1" applyBorder="1" applyAlignment="1">
      <alignment horizontal="center" vertical="center"/>
    </xf>
    <xf numFmtId="0" fontId="21" fillId="0" borderId="76" xfId="8" applyFont="1" applyBorder="1" applyAlignment="1">
      <alignment horizontal="center" vertical="center"/>
    </xf>
    <xf numFmtId="0" fontId="21" fillId="0" borderId="76" xfId="8" applyFont="1" applyBorder="1" applyAlignment="1">
      <alignment horizontal="center" vertical="center" wrapText="1"/>
    </xf>
    <xf numFmtId="0" fontId="21" fillId="0" borderId="61" xfId="8" applyFont="1" applyBorder="1" applyAlignment="1">
      <alignment horizontal="center" vertical="center" wrapText="1"/>
    </xf>
    <xf numFmtId="0" fontId="21" fillId="0" borderId="65" xfId="8" applyFont="1" applyBorder="1" applyAlignment="1">
      <alignment horizontal="center" vertical="center"/>
    </xf>
    <xf numFmtId="0" fontId="21" fillId="0" borderId="48" xfId="8" applyFont="1" applyBorder="1" applyAlignment="1">
      <alignment horizontal="center" vertical="center"/>
    </xf>
    <xf numFmtId="49" fontId="21" fillId="5" borderId="58" xfId="8" applyNumberFormat="1" applyFont="1" applyFill="1" applyBorder="1" applyAlignment="1">
      <alignment horizontal="center" vertical="center" wrapText="1"/>
    </xf>
    <xf numFmtId="0" fontId="21" fillId="5" borderId="40" xfId="8" applyFont="1" applyFill="1" applyBorder="1" applyAlignment="1">
      <alignment horizontal="center" vertical="center" wrapText="1"/>
    </xf>
    <xf numFmtId="0" fontId="50" fillId="2" borderId="1" xfId="7" applyFont="1" applyFill="1" applyBorder="1" applyAlignment="1">
      <alignment horizontal="center" vertical="center" wrapText="1"/>
    </xf>
    <xf numFmtId="0" fontId="32" fillId="2" borderId="30" xfId="7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54" fillId="0" borderId="29" xfId="7" applyFont="1" applyBorder="1" applyAlignment="1">
      <alignment horizontal="center" vertical="center"/>
    </xf>
    <xf numFmtId="0" fontId="54" fillId="0" borderId="102" xfId="7" applyFont="1" applyBorder="1" applyAlignment="1">
      <alignment horizontal="center" vertical="center"/>
    </xf>
    <xf numFmtId="0" fontId="15" fillId="2" borderId="4" xfId="7" applyFont="1" applyFill="1" applyBorder="1" applyAlignment="1">
      <alignment horizontal="center" vertical="center"/>
    </xf>
    <xf numFmtId="0" fontId="15" fillId="2" borderId="63" xfId="7" applyFont="1" applyFill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1" fillId="2" borderId="63" xfId="7" applyFont="1" applyFill="1" applyBorder="1" applyAlignment="1">
      <alignment horizontal="center" vertical="center"/>
    </xf>
    <xf numFmtId="0" fontId="15" fillId="2" borderId="4" xfId="7" applyFont="1" applyFill="1" applyBorder="1" applyAlignment="1">
      <alignment horizontal="center" vertical="center" wrapText="1"/>
    </xf>
    <xf numFmtId="0" fontId="15" fillId="2" borderId="69" xfId="7" applyFont="1" applyFill="1" applyBorder="1" applyAlignment="1">
      <alignment horizontal="center" vertical="center"/>
    </xf>
    <xf numFmtId="0" fontId="15" fillId="2" borderId="103" xfId="7" applyFont="1" applyFill="1" applyBorder="1" applyAlignment="1">
      <alignment horizontal="center" vertical="center"/>
    </xf>
    <xf numFmtId="49" fontId="10" fillId="0" borderId="69" xfId="8" applyNumberFormat="1" applyFont="1" applyBorder="1" applyAlignment="1">
      <alignment horizontal="center" vertical="center"/>
    </xf>
    <xf numFmtId="49" fontId="10" fillId="0" borderId="4" xfId="8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9" fontId="10" fillId="2" borderId="4" xfId="8" applyNumberFormat="1" applyFont="1" applyFill="1" applyBorder="1" applyAlignment="1">
      <alignment horizontal="center" vertical="center"/>
    </xf>
    <xf numFmtId="0" fontId="15" fillId="2" borderId="104" xfId="7" applyFont="1" applyFill="1" applyBorder="1" applyAlignment="1">
      <alignment horizontal="center" vertical="center"/>
    </xf>
    <xf numFmtId="0" fontId="15" fillId="2" borderId="94" xfId="7" applyFont="1" applyFill="1" applyBorder="1" applyAlignment="1">
      <alignment horizontal="center" vertical="center" wrapText="1"/>
    </xf>
    <xf numFmtId="0" fontId="15" fillId="0" borderId="95" xfId="7" applyFont="1" applyBorder="1" applyAlignment="1">
      <alignment horizontal="center" vertical="center"/>
    </xf>
    <xf numFmtId="0" fontId="15" fillId="0" borderId="63" xfId="7" applyFont="1" applyBorder="1" applyAlignment="1">
      <alignment horizontal="center" vertical="center"/>
    </xf>
    <xf numFmtId="0" fontId="15" fillId="2" borderId="4" xfId="7" applyFont="1" applyFill="1" applyBorder="1" applyAlignment="1">
      <alignment vertical="center"/>
    </xf>
    <xf numFmtId="0" fontId="15" fillId="2" borderId="69" xfId="0" applyFont="1" applyFill="1" applyBorder="1" applyAlignment="1">
      <alignment horizontal="center" vertical="center"/>
    </xf>
    <xf numFmtId="0" fontId="15" fillId="0" borderId="71" xfId="7" applyFont="1" applyBorder="1" applyAlignment="1">
      <alignment horizontal="center" vertical="center"/>
    </xf>
    <xf numFmtId="0" fontId="10" fillId="2" borderId="63" xfId="8" applyFont="1" applyFill="1" applyBorder="1" applyAlignment="1">
      <alignment horizontal="center" vertical="center"/>
    </xf>
    <xf numFmtId="0" fontId="11" fillId="0" borderId="105" xfId="0" applyFont="1" applyBorder="1" applyAlignment="1"/>
    <xf numFmtId="0" fontId="21" fillId="25" borderId="1" xfId="8" applyFont="1" applyFill="1" applyBorder="1" applyAlignment="1">
      <alignment horizontal="center" vertical="center"/>
    </xf>
    <xf numFmtId="49" fontId="21" fillId="25" borderId="1" xfId="8" applyNumberFormat="1" applyFont="1" applyFill="1" applyBorder="1" applyAlignment="1">
      <alignment horizontal="center" vertical="center"/>
    </xf>
    <xf numFmtId="0" fontId="44" fillId="25" borderId="1" xfId="8" applyFont="1" applyFill="1" applyBorder="1" applyAlignment="1">
      <alignment horizontal="left" vertical="center" wrapText="1"/>
    </xf>
    <xf numFmtId="0" fontId="45" fillId="25" borderId="1" xfId="8" applyFont="1" applyFill="1" applyBorder="1" applyAlignment="1">
      <alignment horizontal="center" vertical="center" wrapText="1"/>
    </xf>
    <xf numFmtId="0" fontId="21" fillId="25" borderId="1" xfId="8" applyFont="1" applyFill="1" applyBorder="1" applyAlignment="1">
      <alignment horizontal="center" vertical="center" wrapText="1"/>
    </xf>
    <xf numFmtId="0" fontId="45" fillId="25" borderId="1" xfId="8" applyFont="1" applyFill="1" applyBorder="1" applyAlignment="1">
      <alignment horizontal="center" vertical="center"/>
    </xf>
    <xf numFmtId="0" fontId="21" fillId="25" borderId="21" xfId="8" applyFont="1" applyFill="1" applyBorder="1" applyAlignment="1">
      <alignment horizontal="center" vertical="center" wrapText="1"/>
    </xf>
    <xf numFmtId="0" fontId="21" fillId="24" borderId="21" xfId="8" applyFont="1" applyFill="1" applyBorder="1" applyAlignment="1">
      <alignment horizontal="center" vertical="center" wrapText="1"/>
    </xf>
    <xf numFmtId="0" fontId="15" fillId="2" borderId="4" xfId="8" applyFont="1" applyFill="1" applyBorder="1" applyAlignment="1">
      <alignment horizontal="center" vertical="center"/>
    </xf>
    <xf numFmtId="0" fontId="4" fillId="2" borderId="1" xfId="6" applyFont="1" applyFill="1" applyBorder="1" applyAlignment="1">
      <alignment horizontal="left" vertical="center" wrapText="1" shrinkToFit="1"/>
    </xf>
    <xf numFmtId="0" fontId="44" fillId="25" borderId="1" xfId="8" applyFont="1" applyFill="1" applyBorder="1" applyAlignment="1">
      <alignment horizontal="left" vertical="center"/>
    </xf>
    <xf numFmtId="0" fontId="9" fillId="0" borderId="6" xfId="8" applyFont="1" applyBorder="1" applyAlignment="1">
      <alignment horizontal="left" vertical="center" wrapText="1"/>
    </xf>
    <xf numFmtId="0" fontId="32" fillId="3" borderId="1" xfId="5" applyFont="1" applyFill="1" applyBorder="1" applyAlignment="1">
      <alignment horizontal="center" vertical="center"/>
    </xf>
    <xf numFmtId="0" fontId="32" fillId="2" borderId="6" xfId="5" applyFont="1" applyFill="1" applyBorder="1" applyAlignment="1">
      <alignment horizontal="center" vertical="center"/>
    </xf>
    <xf numFmtId="0" fontId="10" fillId="20" borderId="8" xfId="1" applyFont="1" applyFill="1" applyBorder="1" applyAlignment="1">
      <alignment horizontal="center" vertical="center"/>
    </xf>
    <xf numFmtId="0" fontId="10" fillId="0" borderId="47" xfId="8" applyFont="1" applyBorder="1" applyAlignment="1">
      <alignment horizontal="center" vertical="center"/>
    </xf>
    <xf numFmtId="0" fontId="10" fillId="0" borderId="56" xfId="8" applyFont="1" applyBorder="1" applyAlignment="1">
      <alignment horizontal="center" vertical="center"/>
    </xf>
    <xf numFmtId="0" fontId="10" fillId="0" borderId="59" xfId="8" applyFont="1" applyBorder="1" applyAlignment="1">
      <alignment horizontal="center" vertical="center"/>
    </xf>
    <xf numFmtId="0" fontId="10" fillId="0" borderId="0" xfId="8" applyFont="1" applyAlignment="1">
      <alignment horizontal="center" vertical="center"/>
    </xf>
    <xf numFmtId="0" fontId="10" fillId="0" borderId="71" xfId="8" applyFont="1" applyBorder="1" applyAlignment="1">
      <alignment horizontal="center" vertical="center"/>
    </xf>
    <xf numFmtId="0" fontId="10" fillId="0" borderId="68" xfId="8" applyFont="1" applyBorder="1" applyAlignment="1">
      <alignment horizontal="center" vertical="center"/>
    </xf>
    <xf numFmtId="0" fontId="22" fillId="2" borderId="9" xfId="8" applyFont="1" applyFill="1" applyBorder="1" applyAlignment="1">
      <alignment horizontal="left" vertical="center" wrapText="1"/>
    </xf>
    <xf numFmtId="0" fontId="22" fillId="2" borderId="8" xfId="8" applyFont="1" applyFill="1" applyBorder="1" applyAlignment="1">
      <alignment horizontal="left" vertical="center"/>
    </xf>
    <xf numFmtId="0" fontId="10" fillId="0" borderId="14" xfId="8" applyFont="1" applyBorder="1" applyAlignment="1">
      <alignment horizontal="left" vertical="center"/>
    </xf>
    <xf numFmtId="0" fontId="10" fillId="0" borderId="52" xfId="8" applyFont="1" applyBorder="1" applyAlignment="1">
      <alignment horizontal="center" vertical="center"/>
    </xf>
    <xf numFmtId="0" fontId="10" fillId="0" borderId="90" xfId="8" applyFont="1" applyBorder="1" applyAlignment="1">
      <alignment horizontal="center" vertical="center"/>
    </xf>
    <xf numFmtId="0" fontId="10" fillId="0" borderId="5" xfId="8" applyFont="1" applyBorder="1" applyAlignment="1">
      <alignment horizontal="center" vertical="center"/>
    </xf>
    <xf numFmtId="0" fontId="10" fillId="0" borderId="13" xfId="8" applyFont="1" applyBorder="1" applyAlignment="1">
      <alignment horizontal="left" vertical="center" wrapText="1"/>
    </xf>
    <xf numFmtId="0" fontId="10" fillId="0" borderId="15" xfId="8" applyFont="1" applyBorder="1" applyAlignment="1">
      <alignment horizontal="left" vertical="center" wrapText="1"/>
    </xf>
    <xf numFmtId="0" fontId="10" fillId="0" borderId="42" xfId="8" applyFont="1" applyBorder="1" applyAlignment="1">
      <alignment horizontal="center" vertical="center"/>
    </xf>
    <xf numFmtId="0" fontId="10" fillId="0" borderId="73" xfId="8" applyFont="1" applyBorder="1" applyAlignment="1">
      <alignment horizontal="center" vertical="center"/>
    </xf>
    <xf numFmtId="0" fontId="10" fillId="0" borderId="74" xfId="8" applyFont="1" applyBorder="1" applyAlignment="1">
      <alignment horizontal="center" vertical="center"/>
    </xf>
    <xf numFmtId="0" fontId="10" fillId="0" borderId="13" xfId="8" applyFont="1" applyBorder="1" applyAlignment="1">
      <alignment horizontal="center" vertical="center"/>
    </xf>
    <xf numFmtId="0" fontId="10" fillId="0" borderId="14" xfId="8" applyFont="1" applyBorder="1" applyAlignment="1">
      <alignment horizontal="center" vertical="center"/>
    </xf>
    <xf numFmtId="0" fontId="10" fillId="0" borderId="15" xfId="8" applyFont="1" applyBorder="1" applyAlignment="1">
      <alignment horizontal="center" vertical="center"/>
    </xf>
    <xf numFmtId="0" fontId="10" fillId="0" borderId="41" xfId="8" applyFont="1" applyBorder="1" applyAlignment="1">
      <alignment horizontal="center" vertical="center"/>
    </xf>
    <xf numFmtId="0" fontId="10" fillId="0" borderId="37" xfId="8" applyFont="1" applyBorder="1" applyAlignment="1">
      <alignment horizontal="center" vertical="center"/>
    </xf>
    <xf numFmtId="0" fontId="10" fillId="0" borderId="36" xfId="8" applyFont="1" applyBorder="1" applyAlignment="1">
      <alignment horizontal="center" vertical="center"/>
    </xf>
    <xf numFmtId="0" fontId="10" fillId="0" borderId="78" xfId="8" applyFont="1" applyBorder="1" applyAlignment="1">
      <alignment horizontal="center" vertical="center"/>
    </xf>
    <xf numFmtId="0" fontId="10" fillId="0" borderId="14" xfId="8" applyFont="1" applyBorder="1" applyAlignment="1">
      <alignment horizontal="center" vertical="center" wrapText="1"/>
    </xf>
    <xf numFmtId="49" fontId="10" fillId="0" borderId="81" xfId="8" applyNumberFormat="1" applyFont="1" applyBorder="1" applyAlignment="1">
      <alignment horizontal="center" vertical="center"/>
    </xf>
    <xf numFmtId="49" fontId="10" fillId="0" borderId="82" xfId="8" applyNumberFormat="1" applyFont="1" applyBorder="1" applyAlignment="1">
      <alignment horizontal="center" vertical="center"/>
    </xf>
    <xf numFmtId="49" fontId="10" fillId="0" borderId="77" xfId="8" applyNumberFormat="1" applyFont="1" applyBorder="1" applyAlignment="1">
      <alignment horizontal="center" vertical="center"/>
    </xf>
    <xf numFmtId="0" fontId="10" fillId="0" borderId="9" xfId="8" applyFont="1" applyBorder="1" applyAlignment="1">
      <alignment horizontal="center" vertical="center" wrapText="1"/>
    </xf>
    <xf numFmtId="0" fontId="10" fillId="0" borderId="8" xfId="8" applyFont="1" applyBorder="1" applyAlignment="1">
      <alignment horizontal="center" vertical="center" wrapText="1"/>
    </xf>
    <xf numFmtId="0" fontId="10" fillId="0" borderId="48" xfId="8" applyFont="1" applyBorder="1" applyAlignment="1">
      <alignment horizontal="center" vertical="center"/>
    </xf>
    <xf numFmtId="0" fontId="10" fillId="0" borderId="43" xfId="8" applyFont="1" applyBorder="1" applyAlignment="1">
      <alignment horizontal="center" vertical="center"/>
    </xf>
    <xf numFmtId="0" fontId="10" fillId="0" borderId="57" xfId="8" applyFont="1" applyBorder="1" applyAlignment="1">
      <alignment horizontal="center" vertical="center"/>
    </xf>
    <xf numFmtId="0" fontId="10" fillId="0" borderId="34" xfId="8" applyFont="1" applyBorder="1" applyAlignment="1">
      <alignment horizontal="center" vertical="center"/>
    </xf>
    <xf numFmtId="14" fontId="10" fillId="0" borderId="48" xfId="8" applyNumberFormat="1" applyFont="1" applyBorder="1" applyAlignment="1">
      <alignment horizontal="center" vertical="center"/>
    </xf>
    <xf numFmtId="14" fontId="10" fillId="0" borderId="43" xfId="8" applyNumberFormat="1" applyFont="1" applyBorder="1" applyAlignment="1">
      <alignment horizontal="center" vertical="center"/>
    </xf>
    <xf numFmtId="14" fontId="10" fillId="0" borderId="57" xfId="8" applyNumberFormat="1" applyFont="1" applyBorder="1" applyAlignment="1">
      <alignment horizontal="center" vertical="center"/>
    </xf>
    <xf numFmtId="49" fontId="10" fillId="0" borderId="52" xfId="8" applyNumberFormat="1" applyFont="1" applyBorder="1" applyAlignment="1">
      <alignment horizontal="center" vertical="center"/>
    </xf>
    <xf numFmtId="0" fontId="10" fillId="0" borderId="14" xfId="8" applyFont="1" applyBorder="1" applyAlignment="1">
      <alignment horizontal="left" vertical="center" wrapText="1"/>
    </xf>
    <xf numFmtId="0" fontId="10" fillId="0" borderId="49" xfId="8" applyFont="1" applyBorder="1" applyAlignment="1">
      <alignment horizontal="center" vertical="center"/>
    </xf>
    <xf numFmtId="0" fontId="10" fillId="0" borderId="50" xfId="8" applyFont="1" applyBorder="1" applyAlignment="1">
      <alignment horizontal="center" vertical="center"/>
    </xf>
    <xf numFmtId="0" fontId="10" fillId="0" borderId="51" xfId="8" applyFont="1" applyBorder="1" applyAlignment="1">
      <alignment horizontal="center" vertical="center"/>
    </xf>
    <xf numFmtId="0" fontId="10" fillId="0" borderId="19" xfId="8" applyFont="1" applyBorder="1" applyAlignment="1">
      <alignment horizontal="center" vertical="center" wrapText="1"/>
    </xf>
    <xf numFmtId="0" fontId="10" fillId="0" borderId="23" xfId="8" applyFont="1" applyBorder="1" applyAlignment="1">
      <alignment horizontal="center" vertical="center" wrapText="1"/>
    </xf>
    <xf numFmtId="0" fontId="10" fillId="0" borderId="81" xfId="8" applyFont="1" applyBorder="1" applyAlignment="1">
      <alignment horizontal="center" vertical="center"/>
    </xf>
    <xf numFmtId="0" fontId="10" fillId="0" borderId="77" xfId="8" applyFont="1" applyBorder="1" applyAlignment="1">
      <alignment horizontal="center" vertical="center"/>
    </xf>
    <xf numFmtId="0" fontId="10" fillId="0" borderId="43" xfId="8" applyFont="1" applyBorder="1" applyAlignment="1">
      <alignment horizontal="center" wrapText="1"/>
    </xf>
    <xf numFmtId="0" fontId="26" fillId="0" borderId="13" xfId="8" applyFont="1" applyBorder="1" applyAlignment="1">
      <alignment horizontal="center" vertical="center" wrapText="1"/>
    </xf>
    <xf numFmtId="0" fontId="26" fillId="0" borderId="14" xfId="8" applyFont="1" applyBorder="1" applyAlignment="1">
      <alignment horizontal="center" vertical="center" wrapText="1"/>
    </xf>
    <xf numFmtId="0" fontId="26" fillId="0" borderId="15" xfId="8" applyFont="1" applyBorder="1" applyAlignment="1">
      <alignment horizontal="center" vertical="center" wrapText="1"/>
    </xf>
    <xf numFmtId="49" fontId="10" fillId="0" borderId="47" xfId="8" applyNumberFormat="1" applyFont="1" applyBorder="1" applyAlignment="1">
      <alignment horizontal="center" vertical="center"/>
    </xf>
    <xf numFmtId="49" fontId="10" fillId="0" borderId="56" xfId="8" applyNumberFormat="1" applyFont="1" applyBorder="1" applyAlignment="1">
      <alignment horizontal="center" vertical="center"/>
    </xf>
    <xf numFmtId="49" fontId="21" fillId="2" borderId="21" xfId="8" applyNumberFormat="1" applyFont="1" applyFill="1" applyBorder="1" applyAlignment="1">
      <alignment horizontal="center" vertical="center" wrapText="1"/>
    </xf>
    <xf numFmtId="49" fontId="21" fillId="2" borderId="21" xfId="8" applyNumberFormat="1" applyFont="1" applyFill="1" applyBorder="1" applyAlignment="1">
      <alignment horizontal="center" vertical="center"/>
    </xf>
    <xf numFmtId="0" fontId="21" fillId="2" borderId="20" xfId="8" applyFont="1" applyFill="1" applyBorder="1" applyAlignment="1">
      <alignment horizontal="center" vertical="center"/>
    </xf>
    <xf numFmtId="0" fontId="44" fillId="2" borderId="1" xfId="8" applyFont="1" applyFill="1" applyBorder="1" applyAlignment="1">
      <alignment horizontal="left" vertical="center" wrapText="1"/>
    </xf>
    <xf numFmtId="0" fontId="45" fillId="2" borderId="1" xfId="8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vertical="center" wrapText="1"/>
    </xf>
    <xf numFmtId="0" fontId="45" fillId="2" borderId="21" xfId="8" applyFont="1" applyFill="1" applyBorder="1" applyAlignment="1">
      <alignment horizontal="center" vertical="center" wrapText="1"/>
    </xf>
    <xf numFmtId="0" fontId="45" fillId="2" borderId="1" xfId="8" applyFont="1" applyFill="1" applyBorder="1" applyAlignment="1">
      <alignment horizontal="center" vertical="center"/>
    </xf>
    <xf numFmtId="0" fontId="21" fillId="2" borderId="21" xfId="8" applyFont="1" applyFill="1" applyBorder="1" applyAlignment="1">
      <alignment horizontal="center" vertical="center"/>
    </xf>
    <xf numFmtId="0" fontId="21" fillId="2" borderId="1" xfId="8" applyFont="1" applyFill="1" applyBorder="1" applyAlignment="1">
      <alignment horizontal="center" vertical="center" wrapText="1"/>
    </xf>
    <xf numFmtId="49" fontId="45" fillId="2" borderId="21" xfId="8" applyNumberFormat="1" applyFont="1" applyFill="1" applyBorder="1" applyAlignment="1">
      <alignment horizontal="center" vertical="center" wrapText="1"/>
    </xf>
    <xf numFmtId="49" fontId="45" fillId="2" borderId="21" xfId="8" applyNumberFormat="1" applyFont="1" applyFill="1" applyBorder="1" applyAlignment="1">
      <alignment horizontal="center" vertical="center"/>
    </xf>
    <xf numFmtId="14" fontId="45" fillId="2" borderId="1" xfId="8" applyNumberFormat="1" applyFont="1" applyFill="1" applyBorder="1" applyAlignment="1">
      <alignment horizontal="center" vertical="center"/>
    </xf>
    <xf numFmtId="0" fontId="21" fillId="2" borderId="2" xfId="8" applyFont="1" applyFill="1" applyBorder="1" applyAlignment="1">
      <alignment horizontal="center" vertical="center"/>
    </xf>
    <xf numFmtId="0" fontId="21" fillId="2" borderId="4" xfId="8" applyFont="1" applyFill="1" applyBorder="1" applyAlignment="1">
      <alignment horizontal="center" vertical="center"/>
    </xf>
    <xf numFmtId="0" fontId="21" fillId="2" borderId="1" xfId="8" applyFont="1" applyFill="1" applyBorder="1" applyAlignment="1">
      <alignment horizontal="center" vertical="center"/>
    </xf>
    <xf numFmtId="0" fontId="21" fillId="2" borderId="86" xfId="8" applyFont="1" applyFill="1" applyBorder="1" applyAlignment="1">
      <alignment horizontal="center" vertical="center"/>
    </xf>
    <xf numFmtId="0" fontId="21" fillId="2" borderId="82" xfId="8" applyFont="1" applyFill="1" applyBorder="1" applyAlignment="1">
      <alignment horizontal="center" vertical="center"/>
    </xf>
    <xf numFmtId="0" fontId="21" fillId="2" borderId="24" xfId="8" applyFont="1" applyFill="1" applyBorder="1" applyAlignment="1">
      <alignment horizontal="center" vertical="center"/>
    </xf>
    <xf numFmtId="0" fontId="21" fillId="2" borderId="3" xfId="8" applyFont="1" applyFill="1" applyBorder="1" applyAlignment="1">
      <alignment horizontal="center" vertical="center"/>
    </xf>
    <xf numFmtId="0" fontId="21" fillId="18" borderId="48" xfId="8" applyFont="1" applyFill="1" applyBorder="1" applyAlignment="1">
      <alignment horizontal="center" vertical="center"/>
    </xf>
    <xf numFmtId="0" fontId="21" fillId="18" borderId="57" xfId="8" applyFont="1" applyFill="1" applyBorder="1" applyAlignment="1">
      <alignment horizontal="center" vertical="center"/>
    </xf>
    <xf numFmtId="0" fontId="21" fillId="18" borderId="41" xfId="8" applyFont="1" applyFill="1" applyBorder="1" applyAlignment="1">
      <alignment horizontal="center" vertical="center"/>
    </xf>
    <xf numFmtId="0" fontId="21" fillId="18" borderId="37" xfId="8" applyFont="1" applyFill="1" applyBorder="1" applyAlignment="1">
      <alignment horizontal="center" vertical="center"/>
    </xf>
    <xf numFmtId="0" fontId="21" fillId="18" borderId="36" xfId="8" applyFont="1" applyFill="1" applyBorder="1" applyAlignment="1">
      <alignment horizontal="center" vertical="center"/>
    </xf>
    <xf numFmtId="0" fontId="21" fillId="18" borderId="68" xfId="8" applyFont="1" applyFill="1" applyBorder="1" applyAlignment="1">
      <alignment horizontal="center" vertical="center"/>
    </xf>
    <xf numFmtId="0" fontId="21" fillId="18" borderId="34" xfId="8" applyFont="1" applyFill="1" applyBorder="1" applyAlignment="1">
      <alignment horizontal="center" vertical="center"/>
    </xf>
    <xf numFmtId="0" fontId="21" fillId="18" borderId="72" xfId="8" applyFont="1" applyFill="1" applyBorder="1" applyAlignment="1">
      <alignment horizontal="center" vertical="center"/>
    </xf>
    <xf numFmtId="0" fontId="44" fillId="18" borderId="13" xfId="8" applyFont="1" applyFill="1" applyBorder="1" applyAlignment="1">
      <alignment horizontal="left" vertical="center"/>
    </xf>
    <xf numFmtId="0" fontId="44" fillId="18" borderId="15" xfId="8" applyFont="1" applyFill="1" applyBorder="1" applyAlignment="1">
      <alignment horizontal="left" vertical="center"/>
    </xf>
    <xf numFmtId="0" fontId="10" fillId="18" borderId="13" xfId="8" applyFont="1" applyFill="1" applyBorder="1" applyAlignment="1">
      <alignment horizontal="center" vertical="center"/>
    </xf>
    <xf numFmtId="0" fontId="10" fillId="18" borderId="15" xfId="8" applyFont="1" applyFill="1" applyBorder="1" applyAlignment="1">
      <alignment horizontal="center" vertical="center"/>
    </xf>
    <xf numFmtId="0" fontId="21" fillId="2" borderId="16" xfId="8" applyFont="1" applyFill="1" applyBorder="1" applyAlignment="1">
      <alignment horizontal="center" vertical="center"/>
    </xf>
    <xf numFmtId="0" fontId="21" fillId="2" borderId="6" xfId="8" applyFont="1" applyFill="1" applyBorder="1" applyAlignment="1">
      <alignment horizontal="center" vertical="center"/>
    </xf>
    <xf numFmtId="49" fontId="21" fillId="0" borderId="48" xfId="8" applyNumberFormat="1" applyFont="1" applyBorder="1" applyAlignment="1">
      <alignment horizontal="center" vertical="center"/>
    </xf>
    <xf numFmtId="49" fontId="21" fillId="0" borderId="43" xfId="8" applyNumberFormat="1" applyFont="1" applyBorder="1" applyAlignment="1">
      <alignment horizontal="center" vertical="center"/>
    </xf>
    <xf numFmtId="49" fontId="21" fillId="0" borderId="57" xfId="8" applyNumberFormat="1" applyFont="1" applyBorder="1" applyAlignment="1">
      <alignment horizontal="center" vertical="center"/>
    </xf>
    <xf numFmtId="0" fontId="21" fillId="2" borderId="15" xfId="8" applyFont="1" applyFill="1" applyBorder="1" applyAlignment="1">
      <alignment horizontal="center" vertical="center"/>
    </xf>
    <xf numFmtId="0" fontId="21" fillId="10" borderId="1" xfId="8" applyFont="1" applyFill="1" applyBorder="1" applyAlignment="1">
      <alignment horizontal="center" vertical="center"/>
    </xf>
    <xf numFmtId="0" fontId="21" fillId="11" borderId="48" xfId="8" applyFont="1" applyFill="1" applyBorder="1" applyAlignment="1">
      <alignment horizontal="center" vertical="center"/>
    </xf>
    <xf numFmtId="0" fontId="21" fillId="11" borderId="43" xfId="8" applyFont="1" applyFill="1" applyBorder="1" applyAlignment="1">
      <alignment horizontal="center" vertical="center"/>
    </xf>
    <xf numFmtId="0" fontId="21" fillId="11" borderId="57" xfId="8" applyFont="1" applyFill="1" applyBorder="1" applyAlignment="1">
      <alignment horizontal="center" vertical="center"/>
    </xf>
    <xf numFmtId="0" fontId="21" fillId="12" borderId="48" xfId="8" applyFont="1" applyFill="1" applyBorder="1" applyAlignment="1">
      <alignment horizontal="center" vertical="center"/>
    </xf>
    <xf numFmtId="0" fontId="21" fillId="12" borderId="43" xfId="8" applyFont="1" applyFill="1" applyBorder="1" applyAlignment="1">
      <alignment horizontal="center" vertical="center"/>
    </xf>
    <xf numFmtId="0" fontId="48" fillId="0" borderId="13" xfId="8" applyFont="1" applyBorder="1" applyAlignment="1">
      <alignment horizontal="center" vertical="center" wrapText="1"/>
    </xf>
    <xf numFmtId="0" fontId="48" fillId="0" borderId="14" xfId="8" applyFont="1" applyBorder="1" applyAlignment="1">
      <alignment horizontal="center" vertical="center" wrapText="1"/>
    </xf>
    <xf numFmtId="0" fontId="48" fillId="0" borderId="15" xfId="8" applyFont="1" applyBorder="1" applyAlignment="1">
      <alignment horizontal="center" vertical="center" wrapText="1"/>
    </xf>
    <xf numFmtId="0" fontId="22" fillId="0" borderId="13" xfId="8" applyFont="1" applyBorder="1" applyAlignment="1">
      <alignment horizontal="center" vertical="center"/>
    </xf>
    <xf numFmtId="0" fontId="22" fillId="0" borderId="14" xfId="8" applyFont="1" applyBorder="1" applyAlignment="1">
      <alignment horizontal="center" vertical="center"/>
    </xf>
    <xf numFmtId="0" fontId="22" fillId="0" borderId="15" xfId="8" applyFont="1" applyBorder="1" applyAlignment="1">
      <alignment horizontal="center" vertical="center"/>
    </xf>
    <xf numFmtId="49" fontId="22" fillId="0" borderId="47" xfId="8" applyNumberFormat="1" applyFont="1" applyBorder="1" applyAlignment="1">
      <alignment horizontal="center" vertical="center"/>
    </xf>
    <xf numFmtId="49" fontId="22" fillId="0" borderId="52" xfId="8" applyNumberFormat="1" applyFont="1" applyBorder="1" applyAlignment="1">
      <alignment horizontal="center" vertical="center"/>
    </xf>
    <xf numFmtId="49" fontId="22" fillId="0" borderId="56" xfId="8" applyNumberFormat="1" applyFont="1" applyBorder="1" applyAlignment="1">
      <alignment horizontal="center" vertical="center"/>
    </xf>
    <xf numFmtId="0" fontId="21" fillId="0" borderId="49" xfId="8" applyFont="1" applyBorder="1" applyAlignment="1">
      <alignment horizontal="center" vertical="center"/>
    </xf>
    <xf numFmtId="0" fontId="21" fillId="0" borderId="50" xfId="8" applyFont="1" applyBorder="1" applyAlignment="1">
      <alignment horizontal="center" vertical="center"/>
    </xf>
    <xf numFmtId="0" fontId="21" fillId="0" borderId="51" xfId="8" applyFont="1" applyBorder="1" applyAlignment="1">
      <alignment horizontal="center" vertical="center"/>
    </xf>
    <xf numFmtId="0" fontId="21" fillId="6" borderId="41" xfId="8" applyFont="1" applyFill="1" applyBorder="1" applyAlignment="1">
      <alignment horizontal="center" vertical="center"/>
    </xf>
    <xf numFmtId="0" fontId="21" fillId="6" borderId="59" xfId="8" applyFont="1" applyFill="1" applyBorder="1" applyAlignment="1">
      <alignment horizontal="center" vertical="center"/>
    </xf>
    <xf numFmtId="0" fontId="21" fillId="6" borderId="68" xfId="8" applyFont="1" applyFill="1" applyBorder="1" applyAlignment="1">
      <alignment horizontal="center" vertical="center"/>
    </xf>
    <xf numFmtId="0" fontId="44" fillId="7" borderId="13" xfId="8" applyFont="1" applyFill="1" applyBorder="1" applyAlignment="1">
      <alignment horizontal="left" vertical="center" wrapText="1"/>
    </xf>
    <xf numFmtId="0" fontId="44" fillId="7" borderId="15" xfId="8" applyFont="1" applyFill="1" applyBorder="1" applyAlignment="1">
      <alignment horizontal="left" vertical="center" wrapText="1"/>
    </xf>
    <xf numFmtId="0" fontId="10" fillId="7" borderId="13" xfId="8" applyFont="1" applyFill="1" applyBorder="1" applyAlignment="1">
      <alignment horizontal="center" vertical="center" wrapText="1"/>
    </xf>
    <xf numFmtId="0" fontId="10" fillId="7" borderId="15" xfId="8" applyFont="1" applyFill="1" applyBorder="1" applyAlignment="1">
      <alignment horizontal="center" vertical="center" wrapText="1"/>
    </xf>
    <xf numFmtId="0" fontId="21" fillId="7" borderId="9" xfId="8" applyFont="1" applyFill="1" applyBorder="1" applyAlignment="1">
      <alignment horizontal="center" vertical="center" wrapText="1"/>
    </xf>
    <xf numFmtId="0" fontId="21" fillId="7" borderId="8" xfId="8" applyFont="1" applyFill="1" applyBorder="1" applyAlignment="1">
      <alignment horizontal="center" vertical="center" wrapText="1"/>
    </xf>
    <xf numFmtId="0" fontId="22" fillId="7" borderId="9" xfId="8" applyFont="1" applyFill="1" applyBorder="1" applyAlignment="1">
      <alignment horizontal="center" vertical="center" wrapText="1"/>
    </xf>
    <xf numFmtId="0" fontId="22" fillId="7" borderId="8" xfId="8" applyFont="1" applyFill="1" applyBorder="1" applyAlignment="1">
      <alignment horizontal="center" vertical="center" wrapText="1"/>
    </xf>
    <xf numFmtId="0" fontId="44" fillId="0" borderId="13" xfId="8" applyFont="1" applyBorder="1" applyAlignment="1">
      <alignment horizontal="center" vertical="center" wrapText="1"/>
    </xf>
    <xf numFmtId="0" fontId="44" fillId="0" borderId="14" xfId="8" applyFont="1" applyBorder="1" applyAlignment="1">
      <alignment horizontal="center" vertical="center" wrapText="1"/>
    </xf>
    <xf numFmtId="0" fontId="44" fillId="0" borderId="15" xfId="8" applyFont="1" applyBorder="1" applyAlignment="1">
      <alignment horizontal="center" vertical="center" wrapText="1"/>
    </xf>
    <xf numFmtId="0" fontId="10" fillId="0" borderId="13" xfId="8" applyFont="1" applyBorder="1" applyAlignment="1">
      <alignment horizontal="center" vertical="center" wrapText="1"/>
    </xf>
    <xf numFmtId="0" fontId="10" fillId="0" borderId="15" xfId="8" applyFont="1" applyBorder="1" applyAlignment="1">
      <alignment horizontal="center" vertical="center" wrapText="1"/>
    </xf>
    <xf numFmtId="0" fontId="21" fillId="17" borderId="42" xfId="8" applyFont="1" applyFill="1" applyBorder="1" applyAlignment="1">
      <alignment horizontal="center" vertical="center"/>
    </xf>
    <xf numFmtId="0" fontId="21" fillId="17" borderId="73" xfId="8" applyFont="1" applyFill="1" applyBorder="1" applyAlignment="1">
      <alignment horizontal="center" vertical="center"/>
    </xf>
    <xf numFmtId="0" fontId="21" fillId="17" borderId="74" xfId="8" applyFont="1" applyFill="1" applyBorder="1" applyAlignment="1">
      <alignment horizontal="center" vertical="center"/>
    </xf>
    <xf numFmtId="0" fontId="22" fillId="7" borderId="19" xfId="8" applyFont="1" applyFill="1" applyBorder="1" applyAlignment="1">
      <alignment horizontal="center" vertical="center" wrapText="1"/>
    </xf>
    <xf numFmtId="0" fontId="22" fillId="7" borderId="23" xfId="8" applyFont="1" applyFill="1" applyBorder="1" applyAlignment="1">
      <alignment horizontal="center" vertical="center" wrapText="1"/>
    </xf>
    <xf numFmtId="0" fontId="21" fillId="7" borderId="68" xfId="8" applyFont="1" applyFill="1" applyBorder="1" applyAlignment="1">
      <alignment horizontal="center" vertical="center"/>
    </xf>
    <xf numFmtId="0" fontId="21" fillId="7" borderId="34" xfId="8" applyFont="1" applyFill="1" applyBorder="1" applyAlignment="1">
      <alignment horizontal="center" vertical="center"/>
    </xf>
    <xf numFmtId="0" fontId="21" fillId="7" borderId="72" xfId="8" applyFont="1" applyFill="1" applyBorder="1" applyAlignment="1">
      <alignment horizontal="center" vertical="center"/>
    </xf>
    <xf numFmtId="0" fontId="21" fillId="8" borderId="42" xfId="8" applyFont="1" applyFill="1" applyBorder="1" applyAlignment="1">
      <alignment horizontal="center" vertical="center"/>
    </xf>
    <xf numFmtId="0" fontId="21" fillId="8" borderId="73" xfId="8" applyFont="1" applyFill="1" applyBorder="1" applyAlignment="1">
      <alignment horizontal="center" vertical="center"/>
    </xf>
    <xf numFmtId="0" fontId="21" fillId="8" borderId="74" xfId="8" applyFont="1" applyFill="1" applyBorder="1" applyAlignment="1">
      <alignment horizontal="center" vertical="center"/>
    </xf>
    <xf numFmtId="0" fontId="21" fillId="9" borderId="42" xfId="8" applyFont="1" applyFill="1" applyBorder="1" applyAlignment="1">
      <alignment horizontal="center" vertical="center"/>
    </xf>
    <xf numFmtId="0" fontId="21" fillId="9" borderId="73" xfId="8" applyFont="1" applyFill="1" applyBorder="1" applyAlignment="1">
      <alignment horizontal="center" vertical="center"/>
    </xf>
    <xf numFmtId="0" fontId="21" fillId="9" borderId="74" xfId="8" applyFont="1" applyFill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26" fillId="0" borderId="26" xfId="3" applyFont="1" applyBorder="1" applyAlignment="1">
      <alignment horizontal="right" vertical="center"/>
    </xf>
    <xf numFmtId="0" fontId="26" fillId="0" borderId="17" xfId="3" applyFont="1" applyBorder="1" applyAlignment="1">
      <alignment horizontal="right" vertical="center"/>
    </xf>
    <xf numFmtId="0" fontId="9" fillId="0" borderId="16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25" fillId="2" borderId="3" xfId="1" applyFont="1" applyFill="1" applyBorder="1" applyAlignment="1">
      <alignment horizontal="center" vertical="center"/>
    </xf>
    <xf numFmtId="0" fontId="10" fillId="0" borderId="18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177" fontId="10" fillId="0" borderId="19" xfId="1" applyNumberFormat="1" applyFont="1" applyBorder="1" applyAlignment="1">
      <alignment horizontal="center" vertical="center" wrapText="1"/>
    </xf>
    <xf numFmtId="177" fontId="10" fillId="0" borderId="21" xfId="1" applyNumberFormat="1" applyFont="1" applyBorder="1" applyAlignment="1">
      <alignment horizontal="center" vertical="center" wrapText="1"/>
    </xf>
    <xf numFmtId="177" fontId="10" fillId="0" borderId="23" xfId="1" applyNumberFormat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177" fontId="10" fillId="0" borderId="25" xfId="1" applyNumberFormat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right" vertical="center" indent="1"/>
    </xf>
    <xf numFmtId="0" fontId="4" fillId="0" borderId="12" xfId="1" applyFont="1" applyBorder="1" applyAlignment="1">
      <alignment horizontal="right" vertical="center" indent="1"/>
    </xf>
    <xf numFmtId="0" fontId="4" fillId="0" borderId="27" xfId="1" applyFont="1" applyBorder="1" applyAlignment="1">
      <alignment horizontal="right" vertical="center"/>
    </xf>
    <xf numFmtId="0" fontId="4" fillId="0" borderId="80" xfId="1" applyFont="1" applyBorder="1" applyAlignment="1">
      <alignment horizontal="right" vertical="center"/>
    </xf>
    <xf numFmtId="177" fontId="10" fillId="0" borderId="19" xfId="1" applyNumberFormat="1" applyFont="1" applyBorder="1" applyAlignment="1">
      <alignment horizontal="center" vertical="center"/>
    </xf>
    <xf numFmtId="177" fontId="10" fillId="0" borderId="21" xfId="1" applyNumberFormat="1" applyFont="1" applyBorder="1" applyAlignment="1">
      <alignment horizontal="center" vertical="center"/>
    </xf>
    <xf numFmtId="177" fontId="10" fillId="0" borderId="23" xfId="1" applyNumberFormat="1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10" fillId="0" borderId="16" xfId="1" applyFont="1" applyBorder="1" applyAlignment="1">
      <alignment horizontal="center" vertical="center" wrapText="1"/>
    </xf>
    <xf numFmtId="0" fontId="10" fillId="0" borderId="0" xfId="4" applyFont="1" applyAlignment="1">
      <alignment horizontal="left"/>
    </xf>
    <xf numFmtId="0" fontId="30" fillId="0" borderId="0" xfId="1" applyFont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20" borderId="10" xfId="1" applyFont="1" applyFill="1" applyBorder="1" applyAlignment="1">
      <alignment horizontal="center" vertical="center"/>
    </xf>
    <xf numFmtId="0" fontId="10" fillId="20" borderId="11" xfId="1" applyFont="1" applyFill="1" applyBorder="1" applyAlignment="1">
      <alignment horizontal="center" vertical="center"/>
    </xf>
    <xf numFmtId="0" fontId="10" fillId="20" borderId="12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2" fillId="2" borderId="31" xfId="7" applyFont="1" applyFill="1" applyBorder="1" applyAlignment="1">
      <alignment horizontal="center" vertical="center"/>
    </xf>
    <xf numFmtId="0" fontId="32" fillId="2" borderId="4" xfId="7" applyFont="1" applyFill="1" applyBorder="1" applyAlignment="1">
      <alignment horizontal="center" vertical="center"/>
    </xf>
    <xf numFmtId="0" fontId="32" fillId="2" borderId="16" xfId="5" applyFont="1" applyFill="1" applyBorder="1" applyAlignment="1">
      <alignment horizontal="center" vertical="center"/>
    </xf>
    <xf numFmtId="0" fontId="32" fillId="2" borderId="6" xfId="5" applyFont="1" applyFill="1" applyBorder="1" applyAlignment="1">
      <alignment horizontal="center" vertical="center"/>
    </xf>
    <xf numFmtId="0" fontId="30" fillId="0" borderId="7" xfId="3" applyFont="1" applyBorder="1" applyAlignment="1">
      <alignment horizontal="center" vertical="center"/>
    </xf>
    <xf numFmtId="0" fontId="4" fillId="0" borderId="16" xfId="6" applyFont="1" applyBorder="1" applyAlignment="1">
      <alignment horizontal="left" vertical="center" wrapText="1" shrinkToFit="1"/>
    </xf>
    <xf numFmtId="0" fontId="4" fillId="0" borderId="6" xfId="6" applyFont="1" applyBorder="1" applyAlignment="1">
      <alignment horizontal="left" vertical="center" shrinkToFit="1"/>
    </xf>
    <xf numFmtId="0" fontId="4" fillId="0" borderId="16" xfId="3" applyFont="1" applyBorder="1" applyAlignment="1">
      <alignment horizontal="center" vertical="center" shrinkToFit="1"/>
    </xf>
    <xf numFmtId="0" fontId="4" fillId="0" borderId="6" xfId="3" applyFont="1" applyBorder="1" applyAlignment="1">
      <alignment horizontal="center" vertical="center" shrinkToFit="1"/>
    </xf>
    <xf numFmtId="0" fontId="32" fillId="0" borderId="16" xfId="0" applyFont="1" applyBorder="1" applyAlignment="1">
      <alignment horizontal="left" vertical="center"/>
    </xf>
    <xf numFmtId="0" fontId="32" fillId="0" borderId="6" xfId="0" applyFont="1" applyBorder="1" applyAlignment="1">
      <alignment horizontal="left" vertical="center"/>
    </xf>
    <xf numFmtId="0" fontId="32" fillId="0" borderId="16" xfId="0" applyFont="1" applyBorder="1">
      <alignment vertical="center"/>
    </xf>
    <xf numFmtId="0" fontId="32" fillId="0" borderId="6" xfId="0" applyFont="1" applyBorder="1">
      <alignment vertical="center"/>
    </xf>
    <xf numFmtId="0" fontId="32" fillId="0" borderId="14" xfId="0" applyFont="1" applyBorder="1" applyAlignment="1">
      <alignment horizontal="left" vertical="center"/>
    </xf>
    <xf numFmtId="0" fontId="32" fillId="0" borderId="14" xfId="0" applyFont="1" applyBorder="1">
      <alignment vertical="center"/>
    </xf>
    <xf numFmtId="0" fontId="21" fillId="0" borderId="7" xfId="0" applyFont="1" applyBorder="1" applyAlignment="1">
      <alignment horizontal="center" vertical="center"/>
    </xf>
    <xf numFmtId="0" fontId="21" fillId="26" borderId="20" xfId="8" applyFont="1" applyFill="1" applyBorder="1" applyAlignment="1">
      <alignment horizontal="center" vertical="center"/>
    </xf>
    <xf numFmtId="0" fontId="21" fillId="26" borderId="1" xfId="8" applyFont="1" applyFill="1" applyBorder="1" applyAlignment="1">
      <alignment horizontal="center" vertical="center"/>
    </xf>
    <xf numFmtId="0" fontId="44" fillId="26" borderId="1" xfId="8" applyFont="1" applyFill="1" applyBorder="1" applyAlignment="1">
      <alignment horizontal="left" vertical="center"/>
    </xf>
    <xf numFmtId="0" fontId="45" fillId="26" borderId="1" xfId="8" applyFont="1" applyFill="1" applyBorder="1" applyAlignment="1">
      <alignment horizontal="center" vertical="center"/>
    </xf>
    <xf numFmtId="0" fontId="21" fillId="26" borderId="1" xfId="8" applyFont="1" applyFill="1" applyBorder="1" applyAlignment="1">
      <alignment horizontal="center" vertical="center" wrapText="1"/>
    </xf>
    <xf numFmtId="0" fontId="45" fillId="26" borderId="21" xfId="8" applyFont="1" applyFill="1" applyBorder="1" applyAlignment="1">
      <alignment horizontal="center" vertical="center"/>
    </xf>
    <xf numFmtId="0" fontId="44" fillId="0" borderId="1" xfId="8" applyFont="1" applyBorder="1" applyAlignment="1">
      <alignment horizontal="left" vertical="center" wrapText="1"/>
    </xf>
    <xf numFmtId="0" fontId="44" fillId="2" borderId="15" xfId="8" applyFont="1" applyFill="1" applyBorder="1" applyAlignment="1">
      <alignment horizontal="left" vertical="center" wrapText="1"/>
    </xf>
  </cellXfs>
  <cellStyles count="13">
    <cellStyle name="一般" xfId="0" builtinId="0"/>
    <cellStyle name="一般 18" xfId="5" xr:uid="{00000000-0005-0000-0000-000001000000}"/>
    <cellStyle name="一般 2" xfId="9" xr:uid="{00000000-0005-0000-0000-000002000000}"/>
    <cellStyle name="一般 2 2" xfId="1" xr:uid="{00000000-0005-0000-0000-000003000000}"/>
    <cellStyle name="一般 2 2 2" xfId="2" xr:uid="{00000000-0005-0000-0000-000004000000}"/>
    <cellStyle name="一般 3" xfId="10" xr:uid="{00000000-0005-0000-0000-000005000000}"/>
    <cellStyle name="一般 3 3" xfId="3" xr:uid="{00000000-0005-0000-0000-000006000000}"/>
    <cellStyle name="一般 4" xfId="4" xr:uid="{00000000-0005-0000-0000-000007000000}"/>
    <cellStyle name="一般 5" xfId="7" xr:uid="{00000000-0005-0000-0000-000008000000}"/>
    <cellStyle name="一般_981222廠戶聯絡人-E mail" xfId="8" xr:uid="{00000000-0005-0000-0000-000009000000}"/>
    <cellStyle name="一般_Sheet1" xfId="6" xr:uid="{00000000-0005-0000-0000-00000B000000}"/>
    <cellStyle name="百分比" xfId="11" builtinId="5"/>
    <cellStyle name="超連結" xfId="12" builtinId="8"/>
  </cellStyles>
  <dxfs count="0"/>
  <tableStyles count="0" defaultTableStyle="TableStyleMedium2" defaultPivotStyle="PivotStyleLight16"/>
  <colors>
    <mruColors>
      <color rgb="FFFDD7F3"/>
      <color rgb="FFFAECF8"/>
      <color rgb="FFFDCBF9"/>
      <color rgb="FFE5C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EC71F0BB-1787-4034-AD34-8392F2A0B0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557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C35C316F-7E6B-44C7-B822-A4B5DC56A2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557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6AC1CEEC-85C7-4887-8BFF-2F19DB39AD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557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23598D32-8984-4D3D-8C41-308A2C757F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557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C237D57E-0FE5-4C61-8006-03B32499EC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5562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332BA6A3-F14A-436A-8B54-3254BF6956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5562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2E09559C-9339-4675-973A-A32127F438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5562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1560A4A1-AC1B-451E-B6D7-039481989A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5562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7DB40246-DEE7-4399-8BB0-97F765AF57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5562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356CEBEE-6622-4FD6-AEF6-6D0494A771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5562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E065291B-9A5E-4A57-8FC9-F7026889E6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2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90D95031-894F-4515-9DF2-A5A230EA5C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2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74E8837F-1F9E-41FA-821E-31FF6E4E68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2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15" name="AutoShape 4">
          <a:extLst>
            <a:ext uri="{FF2B5EF4-FFF2-40B4-BE49-F238E27FC236}">
              <a16:creationId xmlns:a16="http://schemas.microsoft.com/office/drawing/2014/main" id="{9F8A28C0-8789-4F08-9C38-32F047A524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2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16" name="AutoShape 4">
          <a:extLst>
            <a:ext uri="{FF2B5EF4-FFF2-40B4-BE49-F238E27FC236}">
              <a16:creationId xmlns:a16="http://schemas.microsoft.com/office/drawing/2014/main" id="{3735733E-9DD3-4DDB-970E-B4C7AC591C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5FC8096D-9BF3-4CE3-BB8F-5B02BD39D9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18" name="AutoShape 4">
          <a:extLst>
            <a:ext uri="{FF2B5EF4-FFF2-40B4-BE49-F238E27FC236}">
              <a16:creationId xmlns:a16="http://schemas.microsoft.com/office/drawing/2014/main" id="{AB33FEAA-2C10-4CEE-99FD-D691B3A4F1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19" name="AutoShape 4">
          <a:extLst>
            <a:ext uri="{FF2B5EF4-FFF2-40B4-BE49-F238E27FC236}">
              <a16:creationId xmlns:a16="http://schemas.microsoft.com/office/drawing/2014/main" id="{A389199E-F1FC-4E67-9547-1429D57EF6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20" name="AutoShape 4">
          <a:extLst>
            <a:ext uri="{FF2B5EF4-FFF2-40B4-BE49-F238E27FC236}">
              <a16:creationId xmlns:a16="http://schemas.microsoft.com/office/drawing/2014/main" id="{24B61E55-7C81-498D-87B0-49F501B50E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F7A9413D-2D8B-4A4B-8935-8BB8206FB5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22" name="AutoShape 4">
          <a:extLst>
            <a:ext uri="{FF2B5EF4-FFF2-40B4-BE49-F238E27FC236}">
              <a16:creationId xmlns:a16="http://schemas.microsoft.com/office/drawing/2014/main" id="{7464D9C4-CE4D-4FA9-8C20-68E7345E1C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23" name="AutoShape 4">
          <a:extLst>
            <a:ext uri="{FF2B5EF4-FFF2-40B4-BE49-F238E27FC236}">
              <a16:creationId xmlns:a16="http://schemas.microsoft.com/office/drawing/2014/main" id="{83D922D8-0A4D-440B-B0EE-D82D8DD8AA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557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24" name="AutoShape 4">
          <a:extLst>
            <a:ext uri="{FF2B5EF4-FFF2-40B4-BE49-F238E27FC236}">
              <a16:creationId xmlns:a16="http://schemas.microsoft.com/office/drawing/2014/main" id="{6144208E-F7DE-4A1A-8E53-A5A4AD9D24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557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25" name="AutoShape 4">
          <a:extLst>
            <a:ext uri="{FF2B5EF4-FFF2-40B4-BE49-F238E27FC236}">
              <a16:creationId xmlns:a16="http://schemas.microsoft.com/office/drawing/2014/main" id="{1BF6A025-A641-44D4-B3DE-07215106C6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557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26" name="AutoShape 4">
          <a:extLst>
            <a:ext uri="{FF2B5EF4-FFF2-40B4-BE49-F238E27FC236}">
              <a16:creationId xmlns:a16="http://schemas.microsoft.com/office/drawing/2014/main" id="{09EFD5C4-71CC-445F-8977-623EE6F55D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5572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27" name="AutoShape 4">
          <a:extLst>
            <a:ext uri="{FF2B5EF4-FFF2-40B4-BE49-F238E27FC236}">
              <a16:creationId xmlns:a16="http://schemas.microsoft.com/office/drawing/2014/main" id="{0B56A595-CE87-49B3-BBB7-DC2F55ADA4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5562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28" name="AutoShape 4">
          <a:extLst>
            <a:ext uri="{FF2B5EF4-FFF2-40B4-BE49-F238E27FC236}">
              <a16:creationId xmlns:a16="http://schemas.microsoft.com/office/drawing/2014/main" id="{230ECBD3-DC9F-487D-964B-4B5BFCC639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5562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29" name="AutoShape 4">
          <a:extLst>
            <a:ext uri="{FF2B5EF4-FFF2-40B4-BE49-F238E27FC236}">
              <a16:creationId xmlns:a16="http://schemas.microsoft.com/office/drawing/2014/main" id="{7D5D8DDA-E53E-4F11-B272-01F40AB77C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5562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30" name="AutoShape 4">
          <a:extLst>
            <a:ext uri="{FF2B5EF4-FFF2-40B4-BE49-F238E27FC236}">
              <a16:creationId xmlns:a16="http://schemas.microsoft.com/office/drawing/2014/main" id="{EA4D3D31-52B3-43A5-8446-F45564D5AC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5562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31" name="AutoShape 4">
          <a:extLst>
            <a:ext uri="{FF2B5EF4-FFF2-40B4-BE49-F238E27FC236}">
              <a16:creationId xmlns:a16="http://schemas.microsoft.com/office/drawing/2014/main" id="{2844BCBC-998C-4FA7-B210-077711459B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5562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32" name="AutoShape 4">
          <a:extLst>
            <a:ext uri="{FF2B5EF4-FFF2-40B4-BE49-F238E27FC236}">
              <a16:creationId xmlns:a16="http://schemas.microsoft.com/office/drawing/2014/main" id="{4DE2D46B-347B-4C3A-BE14-4EBC49276A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5562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33" name="AutoShape 4">
          <a:extLst>
            <a:ext uri="{FF2B5EF4-FFF2-40B4-BE49-F238E27FC236}">
              <a16:creationId xmlns:a16="http://schemas.microsoft.com/office/drawing/2014/main" id="{BB23DEB8-DB2A-4039-B0A6-17A884BE6B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2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2DF9A8A1-30BE-4178-A1D0-C0B9017F5C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2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35" name="AutoShape 4">
          <a:extLst>
            <a:ext uri="{FF2B5EF4-FFF2-40B4-BE49-F238E27FC236}">
              <a16:creationId xmlns:a16="http://schemas.microsoft.com/office/drawing/2014/main" id="{A5D17A64-E5B8-4037-ABD5-CE30E465D0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2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36" name="AutoShape 4">
          <a:extLst>
            <a:ext uri="{FF2B5EF4-FFF2-40B4-BE49-F238E27FC236}">
              <a16:creationId xmlns:a16="http://schemas.microsoft.com/office/drawing/2014/main" id="{4A3D88BB-2CC4-4946-8F4E-FAE7FF17DE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2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1928C0-03FF-4143-87C7-A50BA58F9E7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38" name="AutoShape 4">
          <a:extLst>
            <a:ext uri="{FF2B5EF4-FFF2-40B4-BE49-F238E27FC236}">
              <a16:creationId xmlns:a16="http://schemas.microsoft.com/office/drawing/2014/main" id="{D56CD40F-484E-4579-9569-AEC800D199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39" name="AutoShape 4">
          <a:extLst>
            <a:ext uri="{FF2B5EF4-FFF2-40B4-BE49-F238E27FC236}">
              <a16:creationId xmlns:a16="http://schemas.microsoft.com/office/drawing/2014/main" id="{4C6409C2-1FA4-4686-ABFC-A4A315007F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4CA37DB-8382-46D2-A105-4D4088ADFC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41" name="AutoShape 4">
          <a:extLst>
            <a:ext uri="{FF2B5EF4-FFF2-40B4-BE49-F238E27FC236}">
              <a16:creationId xmlns:a16="http://schemas.microsoft.com/office/drawing/2014/main" id="{51957DE5-FE2F-47E0-B78A-140DF90A34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42" name="AutoShape 4">
          <a:extLst>
            <a:ext uri="{FF2B5EF4-FFF2-40B4-BE49-F238E27FC236}">
              <a16:creationId xmlns:a16="http://schemas.microsoft.com/office/drawing/2014/main" id="{E184E5A0-DD93-4C6A-A660-C0862255E0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27E0AD15-E057-48B2-9F04-2596E05D44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44" name="AutoShape 4">
          <a:extLst>
            <a:ext uri="{FF2B5EF4-FFF2-40B4-BE49-F238E27FC236}">
              <a16:creationId xmlns:a16="http://schemas.microsoft.com/office/drawing/2014/main" id="{3DCAC95E-603D-4BD8-B0DD-200B9A0255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45" name="AutoShape 4">
          <a:extLst>
            <a:ext uri="{FF2B5EF4-FFF2-40B4-BE49-F238E27FC236}">
              <a16:creationId xmlns:a16="http://schemas.microsoft.com/office/drawing/2014/main" id="{3E8309E7-A4C6-4A1D-81DE-EFEF709AF9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46" name="AutoShape 4">
          <a:extLst>
            <a:ext uri="{FF2B5EF4-FFF2-40B4-BE49-F238E27FC236}">
              <a16:creationId xmlns:a16="http://schemas.microsoft.com/office/drawing/2014/main" id="{8256AE65-C5E4-4BB8-A13C-A8C738D3C1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47" name="AutoShape 4">
          <a:extLst>
            <a:ext uri="{FF2B5EF4-FFF2-40B4-BE49-F238E27FC236}">
              <a16:creationId xmlns:a16="http://schemas.microsoft.com/office/drawing/2014/main" id="{C0CFD810-689F-4707-A505-C07BE02AB9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48" name="AutoShape 4">
          <a:extLst>
            <a:ext uri="{FF2B5EF4-FFF2-40B4-BE49-F238E27FC236}">
              <a16:creationId xmlns:a16="http://schemas.microsoft.com/office/drawing/2014/main" id="{C819FD64-0AB4-4C82-B353-2989FB8E78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2A9DA390-C724-45E5-A21A-7052364CE9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47B5BBD5-4D95-4CF9-BF51-A61C0089F4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1" name="AutoShape 4">
          <a:extLst>
            <a:ext uri="{FF2B5EF4-FFF2-40B4-BE49-F238E27FC236}">
              <a16:creationId xmlns:a16="http://schemas.microsoft.com/office/drawing/2014/main" id="{6F185A10-77C2-4803-8222-74C6C5D9BE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2" name="AutoShape 4">
          <a:extLst>
            <a:ext uri="{FF2B5EF4-FFF2-40B4-BE49-F238E27FC236}">
              <a16:creationId xmlns:a16="http://schemas.microsoft.com/office/drawing/2014/main" id="{2F9D923E-D696-41EA-8396-A08B1D165A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3" name="AutoShape 4">
          <a:extLst>
            <a:ext uri="{FF2B5EF4-FFF2-40B4-BE49-F238E27FC236}">
              <a16:creationId xmlns:a16="http://schemas.microsoft.com/office/drawing/2014/main" id="{B4D606C3-4264-48A4-B5DC-99A5C251D6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54" name="AutoShape 4">
          <a:extLst>
            <a:ext uri="{FF2B5EF4-FFF2-40B4-BE49-F238E27FC236}">
              <a16:creationId xmlns:a16="http://schemas.microsoft.com/office/drawing/2014/main" id="{195A08C0-6E42-4E28-BC3B-506533B408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55" name="AutoShape 4">
          <a:extLst>
            <a:ext uri="{FF2B5EF4-FFF2-40B4-BE49-F238E27FC236}">
              <a16:creationId xmlns:a16="http://schemas.microsoft.com/office/drawing/2014/main" id="{683CED1D-1BA2-4423-A92D-7C975D2AC0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94E076CC-8DB2-4A97-9440-F3CA70B559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7E887AFD-A01B-4A8F-BE0F-0605790DFE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53D413C1-BB7A-4BAD-ADD4-0F5DCBA652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52AACBA0-8EC3-43C8-BBF4-9982313C0F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447F5159-6866-4611-9F3D-9C4C5A3E5B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A3A757E6-4576-4925-A0E2-7E34D80249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62" name="AutoShape 4">
          <a:extLst>
            <a:ext uri="{FF2B5EF4-FFF2-40B4-BE49-F238E27FC236}">
              <a16:creationId xmlns:a16="http://schemas.microsoft.com/office/drawing/2014/main" id="{0145DFEA-282F-4C52-B2B2-F17D8DF0EC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63" name="AutoShape 4">
          <a:extLst>
            <a:ext uri="{FF2B5EF4-FFF2-40B4-BE49-F238E27FC236}">
              <a16:creationId xmlns:a16="http://schemas.microsoft.com/office/drawing/2014/main" id="{04E88CD8-A18D-467F-A005-F705345A93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82995D95-9B5B-4ADA-8C15-268ADC9187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5" name="AutoShape 4">
          <a:extLst>
            <a:ext uri="{FF2B5EF4-FFF2-40B4-BE49-F238E27FC236}">
              <a16:creationId xmlns:a16="http://schemas.microsoft.com/office/drawing/2014/main" id="{8B037524-6BEF-4C3C-A64A-CBA37E7558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6" name="AutoShape 4">
          <a:extLst>
            <a:ext uri="{FF2B5EF4-FFF2-40B4-BE49-F238E27FC236}">
              <a16:creationId xmlns:a16="http://schemas.microsoft.com/office/drawing/2014/main" id="{A91161AD-1CA0-4A39-A7F0-43600B89C1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7" name="AutoShape 4">
          <a:extLst>
            <a:ext uri="{FF2B5EF4-FFF2-40B4-BE49-F238E27FC236}">
              <a16:creationId xmlns:a16="http://schemas.microsoft.com/office/drawing/2014/main" id="{5A86FDC6-AACE-4C14-91CC-2F460DE59F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17D99764-D165-4B53-84CB-E35F6C7BA3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9" name="AutoShape 4">
          <a:extLst>
            <a:ext uri="{FF2B5EF4-FFF2-40B4-BE49-F238E27FC236}">
              <a16:creationId xmlns:a16="http://schemas.microsoft.com/office/drawing/2014/main" id="{2477F068-3E4C-42F9-85F1-B1FED492C6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70" name="AutoShape 4">
          <a:extLst>
            <a:ext uri="{FF2B5EF4-FFF2-40B4-BE49-F238E27FC236}">
              <a16:creationId xmlns:a16="http://schemas.microsoft.com/office/drawing/2014/main" id="{AA430E7C-DAD4-4ADB-9BEF-3809BCC4F4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71" name="AutoShape 4">
          <a:extLst>
            <a:ext uri="{FF2B5EF4-FFF2-40B4-BE49-F238E27FC236}">
              <a16:creationId xmlns:a16="http://schemas.microsoft.com/office/drawing/2014/main" id="{13839C8C-E05C-4C55-8E42-03E7EB0140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72" name="AutoShape 4">
          <a:extLst>
            <a:ext uri="{FF2B5EF4-FFF2-40B4-BE49-F238E27FC236}">
              <a16:creationId xmlns:a16="http://schemas.microsoft.com/office/drawing/2014/main" id="{EBA26354-B296-418A-B02A-B20C585170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73" name="AutoShape 4">
          <a:extLst>
            <a:ext uri="{FF2B5EF4-FFF2-40B4-BE49-F238E27FC236}">
              <a16:creationId xmlns:a16="http://schemas.microsoft.com/office/drawing/2014/main" id="{25B126E1-C91F-4B0E-9E71-DFA6400E74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74" name="AutoShape 4">
          <a:extLst>
            <a:ext uri="{FF2B5EF4-FFF2-40B4-BE49-F238E27FC236}">
              <a16:creationId xmlns:a16="http://schemas.microsoft.com/office/drawing/2014/main" id="{9F9D4950-0799-42E2-BFC2-CC7E6D3B40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C0C26486-7321-4C9D-BD57-8ADB9993A19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76" name="AutoShape 4">
          <a:extLst>
            <a:ext uri="{FF2B5EF4-FFF2-40B4-BE49-F238E27FC236}">
              <a16:creationId xmlns:a16="http://schemas.microsoft.com/office/drawing/2014/main" id="{35B5E9EB-E1A7-43DA-9FAE-EB5B83A4C6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77" name="AutoShape 4">
          <a:extLst>
            <a:ext uri="{FF2B5EF4-FFF2-40B4-BE49-F238E27FC236}">
              <a16:creationId xmlns:a16="http://schemas.microsoft.com/office/drawing/2014/main" id="{0913BA0D-E03A-4366-8324-C1F8DCB871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78" name="AutoShape 4">
          <a:extLst>
            <a:ext uri="{FF2B5EF4-FFF2-40B4-BE49-F238E27FC236}">
              <a16:creationId xmlns:a16="http://schemas.microsoft.com/office/drawing/2014/main" id="{6690523D-A64A-4996-A961-904E232ACD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79" name="AutoShape 4">
          <a:extLst>
            <a:ext uri="{FF2B5EF4-FFF2-40B4-BE49-F238E27FC236}">
              <a16:creationId xmlns:a16="http://schemas.microsoft.com/office/drawing/2014/main" id="{333C8A41-CC4B-4928-8DBB-2993342A88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80" name="AutoShape 4">
          <a:extLst>
            <a:ext uri="{FF2B5EF4-FFF2-40B4-BE49-F238E27FC236}">
              <a16:creationId xmlns:a16="http://schemas.microsoft.com/office/drawing/2014/main" id="{9717046C-B2B0-4C38-880D-0365B9C15B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81" name="AutoShape 4">
          <a:extLst>
            <a:ext uri="{FF2B5EF4-FFF2-40B4-BE49-F238E27FC236}">
              <a16:creationId xmlns:a16="http://schemas.microsoft.com/office/drawing/2014/main" id="{AEBBCC88-AF71-4C5B-9879-79B8CEFB6F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E26353D2-702F-48D8-98F4-20B36C5996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83" name="AutoShape 4">
          <a:extLst>
            <a:ext uri="{FF2B5EF4-FFF2-40B4-BE49-F238E27FC236}">
              <a16:creationId xmlns:a16="http://schemas.microsoft.com/office/drawing/2014/main" id="{BCA74BBD-858B-4F12-B80C-FAEB6939D2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84" name="AutoShape 4">
          <a:extLst>
            <a:ext uri="{FF2B5EF4-FFF2-40B4-BE49-F238E27FC236}">
              <a16:creationId xmlns:a16="http://schemas.microsoft.com/office/drawing/2014/main" id="{DEA7E9ED-75A7-472C-868C-C4A9F20C59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85" name="AutoShape 4">
          <a:extLst>
            <a:ext uri="{FF2B5EF4-FFF2-40B4-BE49-F238E27FC236}">
              <a16:creationId xmlns:a16="http://schemas.microsoft.com/office/drawing/2014/main" id="{17EAF27A-AA4F-4392-8354-058943BB74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86" name="AutoShape 4">
          <a:extLst>
            <a:ext uri="{FF2B5EF4-FFF2-40B4-BE49-F238E27FC236}">
              <a16:creationId xmlns:a16="http://schemas.microsoft.com/office/drawing/2014/main" id="{D3325AC7-32BD-4A95-8706-DE5E587806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87" name="AutoShape 4">
          <a:extLst>
            <a:ext uri="{FF2B5EF4-FFF2-40B4-BE49-F238E27FC236}">
              <a16:creationId xmlns:a16="http://schemas.microsoft.com/office/drawing/2014/main" id="{7FF228E4-A444-43ED-BBAB-05E3B1B09B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88" name="AutoShape 4">
          <a:extLst>
            <a:ext uri="{FF2B5EF4-FFF2-40B4-BE49-F238E27FC236}">
              <a16:creationId xmlns:a16="http://schemas.microsoft.com/office/drawing/2014/main" id="{AA5566C7-B476-4A3D-B077-8826DD56FD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641D2F10-20E1-4720-A303-7903D5CDD2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0" name="AutoShape 4">
          <a:extLst>
            <a:ext uri="{FF2B5EF4-FFF2-40B4-BE49-F238E27FC236}">
              <a16:creationId xmlns:a16="http://schemas.microsoft.com/office/drawing/2014/main" id="{CDC66148-1F0E-4D61-AEDC-060E0E51D6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1" name="AutoShape 4">
          <a:extLst>
            <a:ext uri="{FF2B5EF4-FFF2-40B4-BE49-F238E27FC236}">
              <a16:creationId xmlns:a16="http://schemas.microsoft.com/office/drawing/2014/main" id="{B993D251-6F86-4FE5-8DF1-F9EEE7C2627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2" name="AutoShape 4">
          <a:extLst>
            <a:ext uri="{FF2B5EF4-FFF2-40B4-BE49-F238E27FC236}">
              <a16:creationId xmlns:a16="http://schemas.microsoft.com/office/drawing/2014/main" id="{89086EDE-902D-46D5-8887-A409ED0779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3" name="AutoShape 4">
          <a:extLst>
            <a:ext uri="{FF2B5EF4-FFF2-40B4-BE49-F238E27FC236}">
              <a16:creationId xmlns:a16="http://schemas.microsoft.com/office/drawing/2014/main" id="{B35AEAE1-E49E-4204-B059-91CA792F11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4" name="AutoShape 4">
          <a:extLst>
            <a:ext uri="{FF2B5EF4-FFF2-40B4-BE49-F238E27FC236}">
              <a16:creationId xmlns:a16="http://schemas.microsoft.com/office/drawing/2014/main" id="{7218B969-2240-404E-B7CA-FCCEDF6AB0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5" name="AutoShape 4">
          <a:extLst>
            <a:ext uri="{FF2B5EF4-FFF2-40B4-BE49-F238E27FC236}">
              <a16:creationId xmlns:a16="http://schemas.microsoft.com/office/drawing/2014/main" id="{E1AE0D68-F6B1-4CCB-88B6-84CD53C50F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F314F1DD-E8C4-4CF3-8BBA-B6F7D02493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7" name="AutoShape 4">
          <a:extLst>
            <a:ext uri="{FF2B5EF4-FFF2-40B4-BE49-F238E27FC236}">
              <a16:creationId xmlns:a16="http://schemas.microsoft.com/office/drawing/2014/main" id="{722D7FDA-51F1-46F7-BDEB-71F99C4666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8" name="AutoShape 4">
          <a:extLst>
            <a:ext uri="{FF2B5EF4-FFF2-40B4-BE49-F238E27FC236}">
              <a16:creationId xmlns:a16="http://schemas.microsoft.com/office/drawing/2014/main" id="{075468F1-EAA2-4248-AA49-A4B740AB4C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9" name="AutoShape 4">
          <a:extLst>
            <a:ext uri="{FF2B5EF4-FFF2-40B4-BE49-F238E27FC236}">
              <a16:creationId xmlns:a16="http://schemas.microsoft.com/office/drawing/2014/main" id="{F08EE3FA-F193-4938-9274-432D520338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0" name="AutoShape 4">
          <a:extLst>
            <a:ext uri="{FF2B5EF4-FFF2-40B4-BE49-F238E27FC236}">
              <a16:creationId xmlns:a16="http://schemas.microsoft.com/office/drawing/2014/main" id="{08A64CFD-A7C5-409B-B3A6-EEC688D861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1" name="AutoShape 4">
          <a:extLst>
            <a:ext uri="{FF2B5EF4-FFF2-40B4-BE49-F238E27FC236}">
              <a16:creationId xmlns:a16="http://schemas.microsoft.com/office/drawing/2014/main" id="{2A89DE0B-484B-4E14-B804-689383B604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2" name="AutoShape 4">
          <a:extLst>
            <a:ext uri="{FF2B5EF4-FFF2-40B4-BE49-F238E27FC236}">
              <a16:creationId xmlns:a16="http://schemas.microsoft.com/office/drawing/2014/main" id="{D26FA002-1322-4944-80DA-EE5B1B7248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88298893-7268-4BCA-BCC5-763D6386AA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4" name="AutoShape 4">
          <a:extLst>
            <a:ext uri="{FF2B5EF4-FFF2-40B4-BE49-F238E27FC236}">
              <a16:creationId xmlns:a16="http://schemas.microsoft.com/office/drawing/2014/main" id="{4EC1D99C-844D-4191-8E69-E8F254DCAB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5" name="AutoShape 4">
          <a:extLst>
            <a:ext uri="{FF2B5EF4-FFF2-40B4-BE49-F238E27FC236}">
              <a16:creationId xmlns:a16="http://schemas.microsoft.com/office/drawing/2014/main" id="{4D85C9DA-E8B0-4130-BA5A-C00169E2FB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6" name="AutoShape 4">
          <a:extLst>
            <a:ext uri="{FF2B5EF4-FFF2-40B4-BE49-F238E27FC236}">
              <a16:creationId xmlns:a16="http://schemas.microsoft.com/office/drawing/2014/main" id="{02C61E62-DC40-4438-BF88-BFEE1C8036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107" name="AutoShape 4">
          <a:extLst>
            <a:ext uri="{FF2B5EF4-FFF2-40B4-BE49-F238E27FC236}">
              <a16:creationId xmlns:a16="http://schemas.microsoft.com/office/drawing/2014/main" id="{E4EB8BC2-20F7-466A-BA9A-BE0D260117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108" name="AutoShape 4">
          <a:extLst>
            <a:ext uri="{FF2B5EF4-FFF2-40B4-BE49-F238E27FC236}">
              <a16:creationId xmlns:a16="http://schemas.microsoft.com/office/drawing/2014/main" id="{94AC8D96-7FD4-4B2E-980A-8F249ABE28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109" name="AutoShape 4">
          <a:extLst>
            <a:ext uri="{FF2B5EF4-FFF2-40B4-BE49-F238E27FC236}">
              <a16:creationId xmlns:a16="http://schemas.microsoft.com/office/drawing/2014/main" id="{0B5F7F70-DBAF-400B-A5EF-F83DBBC14D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55BD71C-919B-4354-BF8B-1BC174B6C2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048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111" name="AutoShape 4">
          <a:extLst>
            <a:ext uri="{FF2B5EF4-FFF2-40B4-BE49-F238E27FC236}">
              <a16:creationId xmlns:a16="http://schemas.microsoft.com/office/drawing/2014/main" id="{55194461-1A9B-4ACA-9367-B116248BCB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112" name="AutoShape 4">
          <a:extLst>
            <a:ext uri="{FF2B5EF4-FFF2-40B4-BE49-F238E27FC236}">
              <a16:creationId xmlns:a16="http://schemas.microsoft.com/office/drawing/2014/main" id="{18DE9F66-FF28-444E-9576-64B584FC58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113" name="AutoShape 4">
          <a:extLst>
            <a:ext uri="{FF2B5EF4-FFF2-40B4-BE49-F238E27FC236}">
              <a16:creationId xmlns:a16="http://schemas.microsoft.com/office/drawing/2014/main" id="{BEA75B31-0A75-49DF-BA04-D3A0266E91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114" name="AutoShape 4">
          <a:extLst>
            <a:ext uri="{FF2B5EF4-FFF2-40B4-BE49-F238E27FC236}">
              <a16:creationId xmlns:a16="http://schemas.microsoft.com/office/drawing/2014/main" id="{C3252394-F4B8-4D83-982D-709576D200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115" name="AutoShape 4">
          <a:extLst>
            <a:ext uri="{FF2B5EF4-FFF2-40B4-BE49-F238E27FC236}">
              <a16:creationId xmlns:a16="http://schemas.microsoft.com/office/drawing/2014/main" id="{A4C50626-B4BC-432F-AA85-67C7687D909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116" name="AutoShape 4">
          <a:extLst>
            <a:ext uri="{FF2B5EF4-FFF2-40B4-BE49-F238E27FC236}">
              <a16:creationId xmlns:a16="http://schemas.microsoft.com/office/drawing/2014/main" id="{30372796-9D77-4B1D-8EA5-C16ABC7F1E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038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46F2A78D-5402-48E3-9FDD-2E6D8629FE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8" name="AutoShape 4">
          <a:extLst>
            <a:ext uri="{FF2B5EF4-FFF2-40B4-BE49-F238E27FC236}">
              <a16:creationId xmlns:a16="http://schemas.microsoft.com/office/drawing/2014/main" id="{52FAF1B6-96CF-4DCD-960C-79661A4F56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9" name="AutoShape 4">
          <a:extLst>
            <a:ext uri="{FF2B5EF4-FFF2-40B4-BE49-F238E27FC236}">
              <a16:creationId xmlns:a16="http://schemas.microsoft.com/office/drawing/2014/main" id="{B8BDDEE8-8FAC-4762-91AD-A1834CB06E3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20" name="AutoShape 4">
          <a:extLst>
            <a:ext uri="{FF2B5EF4-FFF2-40B4-BE49-F238E27FC236}">
              <a16:creationId xmlns:a16="http://schemas.microsoft.com/office/drawing/2014/main" id="{BE5F43D4-0D3F-457E-8A8E-5BDD6AED6F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21" name="AutoShape 4">
          <a:extLst>
            <a:ext uri="{FF2B5EF4-FFF2-40B4-BE49-F238E27FC236}">
              <a16:creationId xmlns:a16="http://schemas.microsoft.com/office/drawing/2014/main" id="{A9C40A72-8ED3-42F3-8EA5-1769FC0B77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22" name="AutoShape 4">
          <a:extLst>
            <a:ext uri="{FF2B5EF4-FFF2-40B4-BE49-F238E27FC236}">
              <a16:creationId xmlns:a16="http://schemas.microsoft.com/office/drawing/2014/main" id="{757F69BD-6705-4A38-8ED1-00C810DB83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23" name="AutoShape 4">
          <a:extLst>
            <a:ext uri="{FF2B5EF4-FFF2-40B4-BE49-F238E27FC236}">
              <a16:creationId xmlns:a16="http://schemas.microsoft.com/office/drawing/2014/main" id="{FB89F34F-9462-44E4-AB3F-F71DF0FBA23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D15AA75C-A810-470C-8002-BEC71F3C1E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25" name="AutoShape 4">
          <a:extLst>
            <a:ext uri="{FF2B5EF4-FFF2-40B4-BE49-F238E27FC236}">
              <a16:creationId xmlns:a16="http://schemas.microsoft.com/office/drawing/2014/main" id="{428B115E-7086-4B42-941A-6132D6FE57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26" name="AutoShape 4">
          <a:extLst>
            <a:ext uri="{FF2B5EF4-FFF2-40B4-BE49-F238E27FC236}">
              <a16:creationId xmlns:a16="http://schemas.microsoft.com/office/drawing/2014/main" id="{D7D9AD1C-8D81-48DD-9FE4-439597A39B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27" name="AutoShape 4">
          <a:extLst>
            <a:ext uri="{FF2B5EF4-FFF2-40B4-BE49-F238E27FC236}">
              <a16:creationId xmlns:a16="http://schemas.microsoft.com/office/drawing/2014/main" id="{A43C01D4-3255-41EB-9069-31585FE29A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28" name="AutoShape 4">
          <a:extLst>
            <a:ext uri="{FF2B5EF4-FFF2-40B4-BE49-F238E27FC236}">
              <a16:creationId xmlns:a16="http://schemas.microsoft.com/office/drawing/2014/main" id="{00D1BE82-D2A9-44D6-979A-6B6F76C71F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286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29" name="AutoShape 4">
          <a:extLst>
            <a:ext uri="{FF2B5EF4-FFF2-40B4-BE49-F238E27FC236}">
              <a16:creationId xmlns:a16="http://schemas.microsoft.com/office/drawing/2014/main" id="{41FE71A5-DEDD-439B-9180-ADA5C7360C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286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30" name="AutoShape 4">
          <a:extLst>
            <a:ext uri="{FF2B5EF4-FFF2-40B4-BE49-F238E27FC236}">
              <a16:creationId xmlns:a16="http://schemas.microsoft.com/office/drawing/2014/main" id="{30B9938B-A38A-46A0-A57A-0E991F505A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286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E5F38A00-F0B9-45F2-924C-0687E069FF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286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32" name="AutoShape 4">
          <a:extLst>
            <a:ext uri="{FF2B5EF4-FFF2-40B4-BE49-F238E27FC236}">
              <a16:creationId xmlns:a16="http://schemas.microsoft.com/office/drawing/2014/main" id="{7A342554-F0A0-489A-8325-E79C425BA5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33" name="AutoShape 4">
          <a:extLst>
            <a:ext uri="{FF2B5EF4-FFF2-40B4-BE49-F238E27FC236}">
              <a16:creationId xmlns:a16="http://schemas.microsoft.com/office/drawing/2014/main" id="{A919903F-5768-4A0B-8068-AE056C934C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34" name="AutoShape 4">
          <a:extLst>
            <a:ext uri="{FF2B5EF4-FFF2-40B4-BE49-F238E27FC236}">
              <a16:creationId xmlns:a16="http://schemas.microsoft.com/office/drawing/2014/main" id="{D5E2D3EA-0A0F-4C6F-8041-89533D1B57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35" name="AutoShape 4">
          <a:extLst>
            <a:ext uri="{FF2B5EF4-FFF2-40B4-BE49-F238E27FC236}">
              <a16:creationId xmlns:a16="http://schemas.microsoft.com/office/drawing/2014/main" id="{6619A2E1-9174-4D91-A851-1F8CCDDFE3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36" name="AutoShape 4">
          <a:extLst>
            <a:ext uri="{FF2B5EF4-FFF2-40B4-BE49-F238E27FC236}">
              <a16:creationId xmlns:a16="http://schemas.microsoft.com/office/drawing/2014/main" id="{59D3EF3C-5E25-451F-B73B-3639ED8A78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37" name="AutoShape 4">
          <a:extLst>
            <a:ext uri="{FF2B5EF4-FFF2-40B4-BE49-F238E27FC236}">
              <a16:creationId xmlns:a16="http://schemas.microsoft.com/office/drawing/2014/main" id="{E3F40DF2-08AB-4361-9AD7-65F05FDDAD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431121B8-7905-4104-8F1A-0E8114D9D1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39" name="AutoShape 4">
          <a:extLst>
            <a:ext uri="{FF2B5EF4-FFF2-40B4-BE49-F238E27FC236}">
              <a16:creationId xmlns:a16="http://schemas.microsoft.com/office/drawing/2014/main" id="{F9C50937-B108-4AD4-A310-DF1C4467F0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40" name="AutoShape 4">
          <a:extLst>
            <a:ext uri="{FF2B5EF4-FFF2-40B4-BE49-F238E27FC236}">
              <a16:creationId xmlns:a16="http://schemas.microsoft.com/office/drawing/2014/main" id="{9C09F0D0-31BD-4735-944B-D6D50D8F77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41" name="AutoShape 4">
          <a:extLst>
            <a:ext uri="{FF2B5EF4-FFF2-40B4-BE49-F238E27FC236}">
              <a16:creationId xmlns:a16="http://schemas.microsoft.com/office/drawing/2014/main" id="{C152C4A5-3A08-4D5E-AD72-DF28ABA065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42" name="AutoShape 4">
          <a:extLst>
            <a:ext uri="{FF2B5EF4-FFF2-40B4-BE49-F238E27FC236}">
              <a16:creationId xmlns:a16="http://schemas.microsoft.com/office/drawing/2014/main" id="{8D69BEB5-00FE-4B24-A117-21E9A6DAA9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43" name="AutoShape 4">
          <a:extLst>
            <a:ext uri="{FF2B5EF4-FFF2-40B4-BE49-F238E27FC236}">
              <a16:creationId xmlns:a16="http://schemas.microsoft.com/office/drawing/2014/main" id="{14A99A2F-34DF-4447-A4E1-41429EB9F0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44" name="AutoShape 4">
          <a:extLst>
            <a:ext uri="{FF2B5EF4-FFF2-40B4-BE49-F238E27FC236}">
              <a16:creationId xmlns:a16="http://schemas.microsoft.com/office/drawing/2014/main" id="{A3B64908-0DCE-43B6-959B-7BCCA86BE5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26611C96-0F63-4287-9A2E-60C1B47B98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46" name="AutoShape 4">
          <a:extLst>
            <a:ext uri="{FF2B5EF4-FFF2-40B4-BE49-F238E27FC236}">
              <a16:creationId xmlns:a16="http://schemas.microsoft.com/office/drawing/2014/main" id="{E0677727-2687-4650-9827-71BD18DBC5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47" name="AutoShape 4">
          <a:extLst>
            <a:ext uri="{FF2B5EF4-FFF2-40B4-BE49-F238E27FC236}">
              <a16:creationId xmlns:a16="http://schemas.microsoft.com/office/drawing/2014/main" id="{3F7820D3-C41D-474D-97E0-F8F152CA65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48" name="AutoShape 4">
          <a:extLst>
            <a:ext uri="{FF2B5EF4-FFF2-40B4-BE49-F238E27FC236}">
              <a16:creationId xmlns:a16="http://schemas.microsoft.com/office/drawing/2014/main" id="{C6A4F021-5947-49B8-8152-05A382317F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49" name="AutoShape 4">
          <a:extLst>
            <a:ext uri="{FF2B5EF4-FFF2-40B4-BE49-F238E27FC236}">
              <a16:creationId xmlns:a16="http://schemas.microsoft.com/office/drawing/2014/main" id="{B93CD5A5-436B-40C7-837C-DEAB877E28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286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50" name="AutoShape 4">
          <a:extLst>
            <a:ext uri="{FF2B5EF4-FFF2-40B4-BE49-F238E27FC236}">
              <a16:creationId xmlns:a16="http://schemas.microsoft.com/office/drawing/2014/main" id="{05EBDC62-A754-4445-90BE-0A2BD0253B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286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51" name="AutoShape 4">
          <a:extLst>
            <a:ext uri="{FF2B5EF4-FFF2-40B4-BE49-F238E27FC236}">
              <a16:creationId xmlns:a16="http://schemas.microsoft.com/office/drawing/2014/main" id="{C2378A2E-A9A5-4A84-9D04-91B550FB64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286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BC104635-F5CD-4C22-A8EF-9E94F573D2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286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53" name="AutoShape 4">
          <a:extLst>
            <a:ext uri="{FF2B5EF4-FFF2-40B4-BE49-F238E27FC236}">
              <a16:creationId xmlns:a16="http://schemas.microsoft.com/office/drawing/2014/main" id="{4D878A86-79E2-4AE6-98CC-78929238FC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54" name="AutoShape 4">
          <a:extLst>
            <a:ext uri="{FF2B5EF4-FFF2-40B4-BE49-F238E27FC236}">
              <a16:creationId xmlns:a16="http://schemas.microsoft.com/office/drawing/2014/main" id="{449A77A5-8438-4FFF-AA25-E3CB0CFB57F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55" name="AutoShape 4">
          <a:extLst>
            <a:ext uri="{FF2B5EF4-FFF2-40B4-BE49-F238E27FC236}">
              <a16:creationId xmlns:a16="http://schemas.microsoft.com/office/drawing/2014/main" id="{28083C0A-3E5E-43D4-990B-22F98A6034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56" name="AutoShape 4">
          <a:extLst>
            <a:ext uri="{FF2B5EF4-FFF2-40B4-BE49-F238E27FC236}">
              <a16:creationId xmlns:a16="http://schemas.microsoft.com/office/drawing/2014/main" id="{6011E59B-B9FD-41B7-8CA4-7F8CB46667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57" name="AutoShape 4">
          <a:extLst>
            <a:ext uri="{FF2B5EF4-FFF2-40B4-BE49-F238E27FC236}">
              <a16:creationId xmlns:a16="http://schemas.microsoft.com/office/drawing/2014/main" id="{27396F1D-ED8A-444E-9F07-29D655B791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58" name="AutoShape 4">
          <a:extLst>
            <a:ext uri="{FF2B5EF4-FFF2-40B4-BE49-F238E27FC236}">
              <a16:creationId xmlns:a16="http://schemas.microsoft.com/office/drawing/2014/main" id="{65960D58-1BCE-477E-954A-E73AA73A9D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276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2D0354E1-138B-4B86-AEAC-84E04DAE86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60" name="AutoShape 4">
          <a:extLst>
            <a:ext uri="{FF2B5EF4-FFF2-40B4-BE49-F238E27FC236}">
              <a16:creationId xmlns:a16="http://schemas.microsoft.com/office/drawing/2014/main" id="{BFA5B1D7-4AD0-4D2E-A772-91BF5AC50A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61" name="AutoShape 4">
          <a:extLst>
            <a:ext uri="{FF2B5EF4-FFF2-40B4-BE49-F238E27FC236}">
              <a16:creationId xmlns:a16="http://schemas.microsoft.com/office/drawing/2014/main" id="{DAEA92FC-DB48-4BB1-9A28-3C963B6929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62" name="AutoShape 4">
          <a:extLst>
            <a:ext uri="{FF2B5EF4-FFF2-40B4-BE49-F238E27FC236}">
              <a16:creationId xmlns:a16="http://schemas.microsoft.com/office/drawing/2014/main" id="{1BFD35FB-72B0-4804-B59C-DC250B158A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63" name="AutoShape 4">
          <a:extLst>
            <a:ext uri="{FF2B5EF4-FFF2-40B4-BE49-F238E27FC236}">
              <a16:creationId xmlns:a16="http://schemas.microsoft.com/office/drawing/2014/main" id="{11405F23-EC6F-4DB3-BD48-DA88344784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64" name="AutoShape 4">
          <a:extLst>
            <a:ext uri="{FF2B5EF4-FFF2-40B4-BE49-F238E27FC236}">
              <a16:creationId xmlns:a16="http://schemas.microsoft.com/office/drawing/2014/main" id="{21C4C6B3-5307-4F56-A7C0-D234745A0A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65" name="AutoShape 4">
          <a:extLst>
            <a:ext uri="{FF2B5EF4-FFF2-40B4-BE49-F238E27FC236}">
              <a16:creationId xmlns:a16="http://schemas.microsoft.com/office/drawing/2014/main" id="{F7295775-7444-415C-A404-BF23C9D350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B01DA5DC-B500-40AA-8264-825C818C0E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67" name="AutoShape 4">
          <a:extLst>
            <a:ext uri="{FF2B5EF4-FFF2-40B4-BE49-F238E27FC236}">
              <a16:creationId xmlns:a16="http://schemas.microsoft.com/office/drawing/2014/main" id="{122BC677-EB81-4BC9-A6BA-F7C0E28F6F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68" name="AutoShape 4">
          <a:extLst>
            <a:ext uri="{FF2B5EF4-FFF2-40B4-BE49-F238E27FC236}">
              <a16:creationId xmlns:a16="http://schemas.microsoft.com/office/drawing/2014/main" id="{C78A8C7C-0E4A-4BE6-9C62-BFD0E2C596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69" name="AutoShape 4">
          <a:extLst>
            <a:ext uri="{FF2B5EF4-FFF2-40B4-BE49-F238E27FC236}">
              <a16:creationId xmlns:a16="http://schemas.microsoft.com/office/drawing/2014/main" id="{EC0EA808-55B3-42DD-A235-BD53A0444B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70" name="AutoShape 4">
          <a:extLst>
            <a:ext uri="{FF2B5EF4-FFF2-40B4-BE49-F238E27FC236}">
              <a16:creationId xmlns:a16="http://schemas.microsoft.com/office/drawing/2014/main" id="{CD519D8C-4349-4706-81B9-9E0EB6DAB3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71" name="AutoShape 4">
          <a:extLst>
            <a:ext uri="{FF2B5EF4-FFF2-40B4-BE49-F238E27FC236}">
              <a16:creationId xmlns:a16="http://schemas.microsoft.com/office/drawing/2014/main" id="{3E5AB612-FA83-4D4A-840E-D5D0EFD0C2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72" name="AutoShape 4">
          <a:extLst>
            <a:ext uri="{FF2B5EF4-FFF2-40B4-BE49-F238E27FC236}">
              <a16:creationId xmlns:a16="http://schemas.microsoft.com/office/drawing/2014/main" id="{5D182218-0217-4561-BC9A-A4C46187BA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A3D04AC2-1AEA-45B0-939D-4138E50DBB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74" name="AutoShape 4">
          <a:extLst>
            <a:ext uri="{FF2B5EF4-FFF2-40B4-BE49-F238E27FC236}">
              <a16:creationId xmlns:a16="http://schemas.microsoft.com/office/drawing/2014/main" id="{2481237E-4184-429A-932A-1003BB5F95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75" name="AutoShape 4">
          <a:extLst>
            <a:ext uri="{FF2B5EF4-FFF2-40B4-BE49-F238E27FC236}">
              <a16:creationId xmlns:a16="http://schemas.microsoft.com/office/drawing/2014/main" id="{48F28E43-E31B-4BFF-AC98-9ECF6B17EF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76" name="AutoShape 4">
          <a:extLst>
            <a:ext uri="{FF2B5EF4-FFF2-40B4-BE49-F238E27FC236}">
              <a16:creationId xmlns:a16="http://schemas.microsoft.com/office/drawing/2014/main" id="{756F453B-98ED-4E9D-8267-CF51343010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77" name="AutoShape 4">
          <a:extLst>
            <a:ext uri="{FF2B5EF4-FFF2-40B4-BE49-F238E27FC236}">
              <a16:creationId xmlns:a16="http://schemas.microsoft.com/office/drawing/2014/main" id="{C9E06254-9E75-41D3-BEB8-85F777B883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78" name="AutoShape 4">
          <a:extLst>
            <a:ext uri="{FF2B5EF4-FFF2-40B4-BE49-F238E27FC236}">
              <a16:creationId xmlns:a16="http://schemas.microsoft.com/office/drawing/2014/main" id="{87E6F5DB-34D1-43C6-AB1B-5C8D4C9885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79" name="AutoShape 4">
          <a:extLst>
            <a:ext uri="{FF2B5EF4-FFF2-40B4-BE49-F238E27FC236}">
              <a16:creationId xmlns:a16="http://schemas.microsoft.com/office/drawing/2014/main" id="{6140FCB7-4752-4E49-AEEE-4042CBA986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C2E72330-E3AA-4A65-AE6D-958A909DD5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81" name="AutoShape 4">
          <a:extLst>
            <a:ext uri="{FF2B5EF4-FFF2-40B4-BE49-F238E27FC236}">
              <a16:creationId xmlns:a16="http://schemas.microsoft.com/office/drawing/2014/main" id="{79B8FCA1-CCBC-4165-B8FD-3CADC0E69C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82" name="AutoShape 4">
          <a:extLst>
            <a:ext uri="{FF2B5EF4-FFF2-40B4-BE49-F238E27FC236}">
              <a16:creationId xmlns:a16="http://schemas.microsoft.com/office/drawing/2014/main" id="{2FED8EF0-B7C9-47F8-8AB3-7A3F426DFE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83" name="AutoShape 4">
          <a:extLst>
            <a:ext uri="{FF2B5EF4-FFF2-40B4-BE49-F238E27FC236}">
              <a16:creationId xmlns:a16="http://schemas.microsoft.com/office/drawing/2014/main" id="{86B21AE9-B30F-4C56-9388-01C4D1D6FB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84" name="AutoShape 4">
          <a:extLst>
            <a:ext uri="{FF2B5EF4-FFF2-40B4-BE49-F238E27FC236}">
              <a16:creationId xmlns:a16="http://schemas.microsoft.com/office/drawing/2014/main" id="{E8D570C0-02A4-4A6B-BF25-2737DC661A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85" name="AutoShape 4">
          <a:extLst>
            <a:ext uri="{FF2B5EF4-FFF2-40B4-BE49-F238E27FC236}">
              <a16:creationId xmlns:a16="http://schemas.microsoft.com/office/drawing/2014/main" id="{41236DAE-A980-4C78-9B45-7B516DBBE3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86" name="AutoShape 4">
          <a:extLst>
            <a:ext uri="{FF2B5EF4-FFF2-40B4-BE49-F238E27FC236}">
              <a16:creationId xmlns:a16="http://schemas.microsoft.com/office/drawing/2014/main" id="{B479E2E5-8D52-4C45-BE73-71259BCA96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AEB0F5C1-BC8D-4352-AB26-2791E3A020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88" name="AutoShape 4">
          <a:extLst>
            <a:ext uri="{FF2B5EF4-FFF2-40B4-BE49-F238E27FC236}">
              <a16:creationId xmlns:a16="http://schemas.microsoft.com/office/drawing/2014/main" id="{90FEE90F-2387-484B-ACE1-2D2898E600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89" name="AutoShape 4">
          <a:extLst>
            <a:ext uri="{FF2B5EF4-FFF2-40B4-BE49-F238E27FC236}">
              <a16:creationId xmlns:a16="http://schemas.microsoft.com/office/drawing/2014/main" id="{68ABBAF2-6E01-4407-84DB-D6750657D7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90" name="AutoShape 4">
          <a:extLst>
            <a:ext uri="{FF2B5EF4-FFF2-40B4-BE49-F238E27FC236}">
              <a16:creationId xmlns:a16="http://schemas.microsoft.com/office/drawing/2014/main" id="{771A886B-8C09-4BD4-89C2-C17927461E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91" name="AutoShape 4">
          <a:extLst>
            <a:ext uri="{FF2B5EF4-FFF2-40B4-BE49-F238E27FC236}">
              <a16:creationId xmlns:a16="http://schemas.microsoft.com/office/drawing/2014/main" id="{F69FD9BC-FBC8-41E4-913E-05697A716B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92" name="AutoShape 4">
          <a:extLst>
            <a:ext uri="{FF2B5EF4-FFF2-40B4-BE49-F238E27FC236}">
              <a16:creationId xmlns:a16="http://schemas.microsoft.com/office/drawing/2014/main" id="{73D4009D-FB98-44F0-A3CA-09CD6AC43D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93" name="AutoShape 4">
          <a:extLst>
            <a:ext uri="{FF2B5EF4-FFF2-40B4-BE49-F238E27FC236}">
              <a16:creationId xmlns:a16="http://schemas.microsoft.com/office/drawing/2014/main" id="{F3EBE8FE-F817-4576-BE6D-93656B77CE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B022F3D4-8442-48B1-8F47-4A692D64D4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95" name="AutoShape 4">
          <a:extLst>
            <a:ext uri="{FF2B5EF4-FFF2-40B4-BE49-F238E27FC236}">
              <a16:creationId xmlns:a16="http://schemas.microsoft.com/office/drawing/2014/main" id="{516F37AF-4400-4B89-9A35-9A97998074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96" name="AutoShape 4">
          <a:extLst>
            <a:ext uri="{FF2B5EF4-FFF2-40B4-BE49-F238E27FC236}">
              <a16:creationId xmlns:a16="http://schemas.microsoft.com/office/drawing/2014/main" id="{6E1A8C98-B842-4988-8793-BD9545DDA9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97" name="AutoShape 4">
          <a:extLst>
            <a:ext uri="{FF2B5EF4-FFF2-40B4-BE49-F238E27FC236}">
              <a16:creationId xmlns:a16="http://schemas.microsoft.com/office/drawing/2014/main" id="{470EE3E0-7A34-40BB-AA8F-F0C7748729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98" name="AutoShape 4">
          <a:extLst>
            <a:ext uri="{FF2B5EF4-FFF2-40B4-BE49-F238E27FC236}">
              <a16:creationId xmlns:a16="http://schemas.microsoft.com/office/drawing/2014/main" id="{86FBB979-F6F7-4E4C-834F-FF4F470A61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99" name="AutoShape 4">
          <a:extLst>
            <a:ext uri="{FF2B5EF4-FFF2-40B4-BE49-F238E27FC236}">
              <a16:creationId xmlns:a16="http://schemas.microsoft.com/office/drawing/2014/main" id="{B3F95942-96EC-42A5-95FA-6DB0B21F57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00" name="AutoShape 4">
          <a:extLst>
            <a:ext uri="{FF2B5EF4-FFF2-40B4-BE49-F238E27FC236}">
              <a16:creationId xmlns:a16="http://schemas.microsoft.com/office/drawing/2014/main" id="{49E45B8C-EBE0-4BF3-B4A0-1129FF5B36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E7EDC320-4518-43DF-BD8C-1A650370B9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02" name="AutoShape 4">
          <a:extLst>
            <a:ext uri="{FF2B5EF4-FFF2-40B4-BE49-F238E27FC236}">
              <a16:creationId xmlns:a16="http://schemas.microsoft.com/office/drawing/2014/main" id="{838B0DD1-E83A-4BBC-974C-92C6E75D93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03" name="AutoShape 4">
          <a:extLst>
            <a:ext uri="{FF2B5EF4-FFF2-40B4-BE49-F238E27FC236}">
              <a16:creationId xmlns:a16="http://schemas.microsoft.com/office/drawing/2014/main" id="{AAB01111-B54D-4184-BFA3-2CED5162ED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04" name="AutoShape 4">
          <a:extLst>
            <a:ext uri="{FF2B5EF4-FFF2-40B4-BE49-F238E27FC236}">
              <a16:creationId xmlns:a16="http://schemas.microsoft.com/office/drawing/2014/main" id="{491DDA54-F601-4609-AD96-C02F84B8D1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05" name="AutoShape 4">
          <a:extLst>
            <a:ext uri="{FF2B5EF4-FFF2-40B4-BE49-F238E27FC236}">
              <a16:creationId xmlns:a16="http://schemas.microsoft.com/office/drawing/2014/main" id="{0AE7624F-ADB7-4F54-8D23-235E255E75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06" name="AutoShape 4">
          <a:extLst>
            <a:ext uri="{FF2B5EF4-FFF2-40B4-BE49-F238E27FC236}">
              <a16:creationId xmlns:a16="http://schemas.microsoft.com/office/drawing/2014/main" id="{C8139A8A-273B-4F17-ACA7-D69F1BBE7C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07" name="AutoShape 4">
          <a:extLst>
            <a:ext uri="{FF2B5EF4-FFF2-40B4-BE49-F238E27FC236}">
              <a16:creationId xmlns:a16="http://schemas.microsoft.com/office/drawing/2014/main" id="{EB38054B-84B0-40E6-93E4-76A5D07CF3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3390D55C-CA34-4D6C-8EC4-D637475A82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09" name="AutoShape 4">
          <a:extLst>
            <a:ext uri="{FF2B5EF4-FFF2-40B4-BE49-F238E27FC236}">
              <a16:creationId xmlns:a16="http://schemas.microsoft.com/office/drawing/2014/main" id="{14552B72-E28B-49E3-8E04-BB5FC74504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10" name="AutoShape 4">
          <a:extLst>
            <a:ext uri="{FF2B5EF4-FFF2-40B4-BE49-F238E27FC236}">
              <a16:creationId xmlns:a16="http://schemas.microsoft.com/office/drawing/2014/main" id="{8F646429-4B0C-49EA-B50F-85B802ED91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11" name="AutoShape 4">
          <a:extLst>
            <a:ext uri="{FF2B5EF4-FFF2-40B4-BE49-F238E27FC236}">
              <a16:creationId xmlns:a16="http://schemas.microsoft.com/office/drawing/2014/main" id="{1D52E346-5367-4693-91A9-CBEFA6B2A7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12" name="AutoShape 4">
          <a:extLst>
            <a:ext uri="{FF2B5EF4-FFF2-40B4-BE49-F238E27FC236}">
              <a16:creationId xmlns:a16="http://schemas.microsoft.com/office/drawing/2014/main" id="{9DA9F909-1090-4426-9234-895084FF8D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13" name="AutoShape 4">
          <a:extLst>
            <a:ext uri="{FF2B5EF4-FFF2-40B4-BE49-F238E27FC236}">
              <a16:creationId xmlns:a16="http://schemas.microsoft.com/office/drawing/2014/main" id="{C8BB5563-DBAE-4A46-9477-1D40AA7066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14" name="AutoShape 4">
          <a:extLst>
            <a:ext uri="{FF2B5EF4-FFF2-40B4-BE49-F238E27FC236}">
              <a16:creationId xmlns:a16="http://schemas.microsoft.com/office/drawing/2014/main" id="{7620DA04-73EE-4AD2-B4CA-0BCBC6E5B1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48B895E6-0400-431F-929E-8671C1B912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16" name="AutoShape 4">
          <a:extLst>
            <a:ext uri="{FF2B5EF4-FFF2-40B4-BE49-F238E27FC236}">
              <a16:creationId xmlns:a16="http://schemas.microsoft.com/office/drawing/2014/main" id="{556970D2-F91E-4660-8739-12128E1794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17" name="AutoShape 4">
          <a:extLst>
            <a:ext uri="{FF2B5EF4-FFF2-40B4-BE49-F238E27FC236}">
              <a16:creationId xmlns:a16="http://schemas.microsoft.com/office/drawing/2014/main" id="{8ABAAC4C-B68F-45CB-B1B0-9B7AC2E493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18" name="AutoShape 4">
          <a:extLst>
            <a:ext uri="{FF2B5EF4-FFF2-40B4-BE49-F238E27FC236}">
              <a16:creationId xmlns:a16="http://schemas.microsoft.com/office/drawing/2014/main" id="{AF1D43C1-2FC7-458C-83EF-07CEB014E6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19" name="AutoShape 4">
          <a:extLst>
            <a:ext uri="{FF2B5EF4-FFF2-40B4-BE49-F238E27FC236}">
              <a16:creationId xmlns:a16="http://schemas.microsoft.com/office/drawing/2014/main" id="{B3BCA798-F1FA-4FAB-8E97-02AB85B0B7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20" name="AutoShape 4">
          <a:extLst>
            <a:ext uri="{FF2B5EF4-FFF2-40B4-BE49-F238E27FC236}">
              <a16:creationId xmlns:a16="http://schemas.microsoft.com/office/drawing/2014/main" id="{791E05F3-7FCA-4F11-A4E7-4F63C85F76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21" name="AutoShape 4">
          <a:extLst>
            <a:ext uri="{FF2B5EF4-FFF2-40B4-BE49-F238E27FC236}">
              <a16:creationId xmlns:a16="http://schemas.microsoft.com/office/drawing/2014/main" id="{94EE7237-9A3C-4AF4-8E73-574E68E420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60551B0A-8358-409A-8A96-E5960D41ED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23" name="AutoShape 4">
          <a:extLst>
            <a:ext uri="{FF2B5EF4-FFF2-40B4-BE49-F238E27FC236}">
              <a16:creationId xmlns:a16="http://schemas.microsoft.com/office/drawing/2014/main" id="{6141383B-8D66-44C0-9ADD-7D07D0203F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24" name="AutoShape 4">
          <a:extLst>
            <a:ext uri="{FF2B5EF4-FFF2-40B4-BE49-F238E27FC236}">
              <a16:creationId xmlns:a16="http://schemas.microsoft.com/office/drawing/2014/main" id="{84D05224-1ABB-40C8-AC48-10CA197377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25" name="AutoShape 4">
          <a:extLst>
            <a:ext uri="{FF2B5EF4-FFF2-40B4-BE49-F238E27FC236}">
              <a16:creationId xmlns:a16="http://schemas.microsoft.com/office/drawing/2014/main" id="{792061EC-50F2-4841-88A3-FA269DF7F1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26" name="AutoShape 4">
          <a:extLst>
            <a:ext uri="{FF2B5EF4-FFF2-40B4-BE49-F238E27FC236}">
              <a16:creationId xmlns:a16="http://schemas.microsoft.com/office/drawing/2014/main" id="{AF60A343-9C68-4444-8374-22ADEA889D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27" name="AutoShape 4">
          <a:extLst>
            <a:ext uri="{FF2B5EF4-FFF2-40B4-BE49-F238E27FC236}">
              <a16:creationId xmlns:a16="http://schemas.microsoft.com/office/drawing/2014/main" id="{C369A3EA-B2AA-4537-B759-52448E8661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28" name="AutoShape 4">
          <a:extLst>
            <a:ext uri="{FF2B5EF4-FFF2-40B4-BE49-F238E27FC236}">
              <a16:creationId xmlns:a16="http://schemas.microsoft.com/office/drawing/2014/main" id="{7E85872E-59B6-445D-9CA3-4548ABA97E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D61FAF12-832C-4029-963F-2395C3BB35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30" name="AutoShape 4">
          <a:extLst>
            <a:ext uri="{FF2B5EF4-FFF2-40B4-BE49-F238E27FC236}">
              <a16:creationId xmlns:a16="http://schemas.microsoft.com/office/drawing/2014/main" id="{D29F94FF-5C94-472E-93D3-313493C7F5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31" name="AutoShape 4">
          <a:extLst>
            <a:ext uri="{FF2B5EF4-FFF2-40B4-BE49-F238E27FC236}">
              <a16:creationId xmlns:a16="http://schemas.microsoft.com/office/drawing/2014/main" id="{F84A9E1C-C2AD-40FF-B5AF-1D93E7048D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6E640FE-6082-4D04-A3E7-F1068B5828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33" name="AutoShape 4">
          <a:extLst>
            <a:ext uri="{FF2B5EF4-FFF2-40B4-BE49-F238E27FC236}">
              <a16:creationId xmlns:a16="http://schemas.microsoft.com/office/drawing/2014/main" id="{1E239A25-F958-4D55-998A-A83F0A78F6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34" name="AutoShape 4">
          <a:extLst>
            <a:ext uri="{FF2B5EF4-FFF2-40B4-BE49-F238E27FC236}">
              <a16:creationId xmlns:a16="http://schemas.microsoft.com/office/drawing/2014/main" id="{7FD836D4-7712-4C3F-95FF-615D686431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35" name="AutoShape 4">
          <a:extLst>
            <a:ext uri="{FF2B5EF4-FFF2-40B4-BE49-F238E27FC236}">
              <a16:creationId xmlns:a16="http://schemas.microsoft.com/office/drawing/2014/main" id="{65E5E3F7-82F6-46DD-A61D-EFDBDF5ECF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36" name="AutoShape 4">
          <a:extLst>
            <a:ext uri="{FF2B5EF4-FFF2-40B4-BE49-F238E27FC236}">
              <a16:creationId xmlns:a16="http://schemas.microsoft.com/office/drawing/2014/main" id="{5F788ED9-D5C2-4645-A62F-1D795B5526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37" name="AutoShape 4">
          <a:extLst>
            <a:ext uri="{FF2B5EF4-FFF2-40B4-BE49-F238E27FC236}">
              <a16:creationId xmlns:a16="http://schemas.microsoft.com/office/drawing/2014/main" id="{12EE6BE5-505B-4791-BA0C-73C943473F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38" name="AutoShape 4">
          <a:extLst>
            <a:ext uri="{FF2B5EF4-FFF2-40B4-BE49-F238E27FC236}">
              <a16:creationId xmlns:a16="http://schemas.microsoft.com/office/drawing/2014/main" id="{C4C56778-7488-4167-AD67-D112AB5756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39" name="AutoShape 4">
          <a:extLst>
            <a:ext uri="{FF2B5EF4-FFF2-40B4-BE49-F238E27FC236}">
              <a16:creationId xmlns:a16="http://schemas.microsoft.com/office/drawing/2014/main" id="{3120E9A2-2A8F-4BB9-93E9-515B6CB043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CF481659-0D71-4867-B2AF-662F62530A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41" name="AutoShape 4">
          <a:extLst>
            <a:ext uri="{FF2B5EF4-FFF2-40B4-BE49-F238E27FC236}">
              <a16:creationId xmlns:a16="http://schemas.microsoft.com/office/drawing/2014/main" id="{E0EE7B11-9E06-4E4A-822E-7413E8A278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42" name="AutoShape 4">
          <a:extLst>
            <a:ext uri="{FF2B5EF4-FFF2-40B4-BE49-F238E27FC236}">
              <a16:creationId xmlns:a16="http://schemas.microsoft.com/office/drawing/2014/main" id="{AB8A0107-7EA3-48F8-833C-046A774C77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1A004ED9-D5CE-4187-ADBA-BC5E5C31D3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44" name="AutoShape 4">
          <a:extLst>
            <a:ext uri="{FF2B5EF4-FFF2-40B4-BE49-F238E27FC236}">
              <a16:creationId xmlns:a16="http://schemas.microsoft.com/office/drawing/2014/main" id="{AFCC7E5B-7CE7-45C7-B895-66D155DF6B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45" name="AutoShape 4">
          <a:extLst>
            <a:ext uri="{FF2B5EF4-FFF2-40B4-BE49-F238E27FC236}">
              <a16:creationId xmlns:a16="http://schemas.microsoft.com/office/drawing/2014/main" id="{380C13A8-F5AA-49A7-9544-AEE3C74A2D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D9D7B884-9AFE-424C-A822-40969C1F66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47" name="AutoShape 4">
          <a:extLst>
            <a:ext uri="{FF2B5EF4-FFF2-40B4-BE49-F238E27FC236}">
              <a16:creationId xmlns:a16="http://schemas.microsoft.com/office/drawing/2014/main" id="{CAF02AB4-3612-4C03-AC1E-879325F352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48" name="AutoShape 4">
          <a:extLst>
            <a:ext uri="{FF2B5EF4-FFF2-40B4-BE49-F238E27FC236}">
              <a16:creationId xmlns:a16="http://schemas.microsoft.com/office/drawing/2014/main" id="{7BAA770B-043B-4337-92BD-2A94CDE37D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49" name="AutoShape 4">
          <a:extLst>
            <a:ext uri="{FF2B5EF4-FFF2-40B4-BE49-F238E27FC236}">
              <a16:creationId xmlns:a16="http://schemas.microsoft.com/office/drawing/2014/main" id="{53CB4F78-7906-46A2-AF51-84E9FF30EA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50" name="AutoShape 4">
          <a:extLst>
            <a:ext uri="{FF2B5EF4-FFF2-40B4-BE49-F238E27FC236}">
              <a16:creationId xmlns:a16="http://schemas.microsoft.com/office/drawing/2014/main" id="{40E3C1EB-68B7-429B-AD1F-140AB11464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51" name="AutoShape 4">
          <a:extLst>
            <a:ext uri="{FF2B5EF4-FFF2-40B4-BE49-F238E27FC236}">
              <a16:creationId xmlns:a16="http://schemas.microsoft.com/office/drawing/2014/main" id="{2360FD9C-0359-4A72-8E25-9FF2CBFB5D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52" name="AutoShape 4">
          <a:extLst>
            <a:ext uri="{FF2B5EF4-FFF2-40B4-BE49-F238E27FC236}">
              <a16:creationId xmlns:a16="http://schemas.microsoft.com/office/drawing/2014/main" id="{67B80414-6920-4C94-9947-0F42D68BD6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E7B5CB79-7EBB-42D2-A015-E150E7E2B3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54" name="AutoShape 4">
          <a:extLst>
            <a:ext uri="{FF2B5EF4-FFF2-40B4-BE49-F238E27FC236}">
              <a16:creationId xmlns:a16="http://schemas.microsoft.com/office/drawing/2014/main" id="{5EC05FAE-622B-47BF-91EF-134629AEA8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55" name="AutoShape 4">
          <a:extLst>
            <a:ext uri="{FF2B5EF4-FFF2-40B4-BE49-F238E27FC236}">
              <a16:creationId xmlns:a16="http://schemas.microsoft.com/office/drawing/2014/main" id="{8A90F86D-16B9-4D8C-9A07-F8667C7DF9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56" name="AutoShape 4">
          <a:extLst>
            <a:ext uri="{FF2B5EF4-FFF2-40B4-BE49-F238E27FC236}">
              <a16:creationId xmlns:a16="http://schemas.microsoft.com/office/drawing/2014/main" id="{F27E505C-1CEC-4867-9AA9-F3681703EF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57" name="AutoShape 4">
          <a:extLst>
            <a:ext uri="{FF2B5EF4-FFF2-40B4-BE49-F238E27FC236}">
              <a16:creationId xmlns:a16="http://schemas.microsoft.com/office/drawing/2014/main" id="{7601FC28-9233-41D2-B2C2-666EC61668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58" name="AutoShape 4">
          <a:extLst>
            <a:ext uri="{FF2B5EF4-FFF2-40B4-BE49-F238E27FC236}">
              <a16:creationId xmlns:a16="http://schemas.microsoft.com/office/drawing/2014/main" id="{3CB084FE-84C1-4476-899D-8B8A24B6FC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59" name="AutoShape 4">
          <a:extLst>
            <a:ext uri="{FF2B5EF4-FFF2-40B4-BE49-F238E27FC236}">
              <a16:creationId xmlns:a16="http://schemas.microsoft.com/office/drawing/2014/main" id="{545E27ED-6B86-40D4-A31B-B8B859ED9A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B0DFE07-120A-457D-86BC-57C229DB7B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61" name="AutoShape 4">
          <a:extLst>
            <a:ext uri="{FF2B5EF4-FFF2-40B4-BE49-F238E27FC236}">
              <a16:creationId xmlns:a16="http://schemas.microsoft.com/office/drawing/2014/main" id="{DF4F403D-14B9-42C1-AEBB-500032954A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62" name="AutoShape 4">
          <a:extLst>
            <a:ext uri="{FF2B5EF4-FFF2-40B4-BE49-F238E27FC236}">
              <a16:creationId xmlns:a16="http://schemas.microsoft.com/office/drawing/2014/main" id="{A3133D56-C50D-40ED-9B11-E1745FF247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63" name="AutoShape 4">
          <a:extLst>
            <a:ext uri="{FF2B5EF4-FFF2-40B4-BE49-F238E27FC236}">
              <a16:creationId xmlns:a16="http://schemas.microsoft.com/office/drawing/2014/main" id="{035BCF0E-4508-45C6-BF24-802895648B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64" name="AutoShape 4">
          <a:extLst>
            <a:ext uri="{FF2B5EF4-FFF2-40B4-BE49-F238E27FC236}">
              <a16:creationId xmlns:a16="http://schemas.microsoft.com/office/drawing/2014/main" id="{534BB1A0-9AD1-49D6-A098-2A9502AA13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65" name="AutoShape 4">
          <a:extLst>
            <a:ext uri="{FF2B5EF4-FFF2-40B4-BE49-F238E27FC236}">
              <a16:creationId xmlns:a16="http://schemas.microsoft.com/office/drawing/2014/main" id="{6B48A2A7-5645-42E5-B400-850CF6C5DA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66" name="AutoShape 4">
          <a:extLst>
            <a:ext uri="{FF2B5EF4-FFF2-40B4-BE49-F238E27FC236}">
              <a16:creationId xmlns:a16="http://schemas.microsoft.com/office/drawing/2014/main" id="{71DC57FB-5267-4E5D-AC3E-90EE90F964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45E0ADC1-7178-4498-88D2-15BE6CFA83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68" name="AutoShape 4">
          <a:extLst>
            <a:ext uri="{FF2B5EF4-FFF2-40B4-BE49-F238E27FC236}">
              <a16:creationId xmlns:a16="http://schemas.microsoft.com/office/drawing/2014/main" id="{E264682A-8992-49E3-8B42-AD01E096C6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69" name="AutoShape 4">
          <a:extLst>
            <a:ext uri="{FF2B5EF4-FFF2-40B4-BE49-F238E27FC236}">
              <a16:creationId xmlns:a16="http://schemas.microsoft.com/office/drawing/2014/main" id="{80659878-4926-4113-9F85-9FA5929776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70" name="AutoShape 4">
          <a:extLst>
            <a:ext uri="{FF2B5EF4-FFF2-40B4-BE49-F238E27FC236}">
              <a16:creationId xmlns:a16="http://schemas.microsoft.com/office/drawing/2014/main" id="{2F2AC7FC-638E-463B-8A18-E725B2EF6B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83444C45-6788-4725-8B81-8529412595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72" name="AutoShape 4">
          <a:extLst>
            <a:ext uri="{FF2B5EF4-FFF2-40B4-BE49-F238E27FC236}">
              <a16:creationId xmlns:a16="http://schemas.microsoft.com/office/drawing/2014/main" id="{F031522F-E279-45A3-BB49-4E262F42C6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73" name="AutoShape 4">
          <a:extLst>
            <a:ext uri="{FF2B5EF4-FFF2-40B4-BE49-F238E27FC236}">
              <a16:creationId xmlns:a16="http://schemas.microsoft.com/office/drawing/2014/main" id="{FDB435BE-1AA7-4298-B68A-5CC8D7A760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74" name="AutoShape 4">
          <a:extLst>
            <a:ext uri="{FF2B5EF4-FFF2-40B4-BE49-F238E27FC236}">
              <a16:creationId xmlns:a16="http://schemas.microsoft.com/office/drawing/2014/main" id="{6FFAFD18-129E-4A4B-9BE6-1C72087DB2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75" name="AutoShape 4">
          <a:extLst>
            <a:ext uri="{FF2B5EF4-FFF2-40B4-BE49-F238E27FC236}">
              <a16:creationId xmlns:a16="http://schemas.microsoft.com/office/drawing/2014/main" id="{3FCE687A-55E3-46A9-9CAB-2FC98BDFCB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76" name="AutoShape 4">
          <a:extLst>
            <a:ext uri="{FF2B5EF4-FFF2-40B4-BE49-F238E27FC236}">
              <a16:creationId xmlns:a16="http://schemas.microsoft.com/office/drawing/2014/main" id="{0A3B3F38-3C56-4FD1-A707-ABC4EF7069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77" name="AutoShape 4">
          <a:extLst>
            <a:ext uri="{FF2B5EF4-FFF2-40B4-BE49-F238E27FC236}">
              <a16:creationId xmlns:a16="http://schemas.microsoft.com/office/drawing/2014/main" id="{A37B3C02-C52D-4FDD-A007-2C08DC93AE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3A5C4E9-B9EF-4522-A5F5-C1E34AFBC6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583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79" name="AutoShape 4">
          <a:extLst>
            <a:ext uri="{FF2B5EF4-FFF2-40B4-BE49-F238E27FC236}">
              <a16:creationId xmlns:a16="http://schemas.microsoft.com/office/drawing/2014/main" id="{EC70CCF5-E26F-4BDE-B867-72583017F2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80" name="AutoShape 4">
          <a:extLst>
            <a:ext uri="{FF2B5EF4-FFF2-40B4-BE49-F238E27FC236}">
              <a16:creationId xmlns:a16="http://schemas.microsoft.com/office/drawing/2014/main" id="{B7DBD70C-975D-4582-809F-05241D7E5B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81" name="AutoShape 4">
          <a:extLst>
            <a:ext uri="{FF2B5EF4-FFF2-40B4-BE49-F238E27FC236}">
              <a16:creationId xmlns:a16="http://schemas.microsoft.com/office/drawing/2014/main" id="{17BB5FE6-FAF9-4C3F-8F4F-4C6B5B38FF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82" name="AutoShape 4">
          <a:extLst>
            <a:ext uri="{FF2B5EF4-FFF2-40B4-BE49-F238E27FC236}">
              <a16:creationId xmlns:a16="http://schemas.microsoft.com/office/drawing/2014/main" id="{D05B9682-DB63-4E99-914F-3B5FFD6647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83" name="AutoShape 4">
          <a:extLst>
            <a:ext uri="{FF2B5EF4-FFF2-40B4-BE49-F238E27FC236}">
              <a16:creationId xmlns:a16="http://schemas.microsoft.com/office/drawing/2014/main" id="{2D04833D-170C-4CD6-A7B4-FB09BC6ACA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84" name="AutoShape 4">
          <a:extLst>
            <a:ext uri="{FF2B5EF4-FFF2-40B4-BE49-F238E27FC236}">
              <a16:creationId xmlns:a16="http://schemas.microsoft.com/office/drawing/2014/main" id="{E15EFBDD-40DA-407C-AB98-A2B0A691AA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85" name="AutoShape 4">
          <a:extLst>
            <a:ext uri="{FF2B5EF4-FFF2-40B4-BE49-F238E27FC236}">
              <a16:creationId xmlns:a16="http://schemas.microsoft.com/office/drawing/2014/main" id="{02E93687-4A94-4736-BCA9-9F0B4F3025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86" name="AutoShape 4">
          <a:extLst>
            <a:ext uri="{FF2B5EF4-FFF2-40B4-BE49-F238E27FC236}">
              <a16:creationId xmlns:a16="http://schemas.microsoft.com/office/drawing/2014/main" id="{4F74B25B-8AF7-479C-A251-01CD8D315C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87" name="AutoShape 4">
          <a:extLst>
            <a:ext uri="{FF2B5EF4-FFF2-40B4-BE49-F238E27FC236}">
              <a16:creationId xmlns:a16="http://schemas.microsoft.com/office/drawing/2014/main" id="{1D2036D3-43DB-40D1-93A6-2332C41884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88" name="AutoShape 4">
          <a:extLst>
            <a:ext uri="{FF2B5EF4-FFF2-40B4-BE49-F238E27FC236}">
              <a16:creationId xmlns:a16="http://schemas.microsoft.com/office/drawing/2014/main" id="{24DA5D3D-2D37-469A-AA09-83F80B56DC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89" name="AutoShape 4">
          <a:extLst>
            <a:ext uri="{FF2B5EF4-FFF2-40B4-BE49-F238E27FC236}">
              <a16:creationId xmlns:a16="http://schemas.microsoft.com/office/drawing/2014/main" id="{9858F99E-2E35-4232-97D5-572F2A8326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90" name="AutoShape 4">
          <a:extLst>
            <a:ext uri="{FF2B5EF4-FFF2-40B4-BE49-F238E27FC236}">
              <a16:creationId xmlns:a16="http://schemas.microsoft.com/office/drawing/2014/main" id="{998DFF89-AF4D-4007-8C09-1DEDA08D32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5A1AB903-B474-4D2B-BAFD-BEA9CBEF6A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92" name="AutoShape 4">
          <a:extLst>
            <a:ext uri="{FF2B5EF4-FFF2-40B4-BE49-F238E27FC236}">
              <a16:creationId xmlns:a16="http://schemas.microsoft.com/office/drawing/2014/main" id="{CCC1A27D-A2B9-49E0-AF36-9DE115A2CF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93" name="AutoShape 4">
          <a:extLst>
            <a:ext uri="{FF2B5EF4-FFF2-40B4-BE49-F238E27FC236}">
              <a16:creationId xmlns:a16="http://schemas.microsoft.com/office/drawing/2014/main" id="{23DDA5D6-4263-4544-A2D7-9CFC3DD8B0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FBC0EE04-48A3-47B2-95A8-DFFE7598E2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295" name="AutoShape 4">
          <a:extLst>
            <a:ext uri="{FF2B5EF4-FFF2-40B4-BE49-F238E27FC236}">
              <a16:creationId xmlns:a16="http://schemas.microsoft.com/office/drawing/2014/main" id="{794960A7-F003-48D5-A506-68B2D06CDF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9625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17</xdr:row>
      <xdr:rowOff>57150</xdr:rowOff>
    </xdr:to>
    <xdr:sp macro="" textlink="">
      <xdr:nvSpPr>
        <xdr:cNvPr id="296" name="AutoShape 4">
          <a:extLst>
            <a:ext uri="{FF2B5EF4-FFF2-40B4-BE49-F238E27FC236}">
              <a16:creationId xmlns:a16="http://schemas.microsoft.com/office/drawing/2014/main" id="{F4BDAD72-3CB3-402C-B3A2-D816D13DDE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4648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17</xdr:row>
      <xdr:rowOff>57150</xdr:rowOff>
    </xdr:to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683AAA35-714B-4422-98C5-53E5450E91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4648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17</xdr:row>
      <xdr:rowOff>57150</xdr:rowOff>
    </xdr:to>
    <xdr:sp macro="" textlink="">
      <xdr:nvSpPr>
        <xdr:cNvPr id="298" name="AutoShape 4">
          <a:extLst>
            <a:ext uri="{FF2B5EF4-FFF2-40B4-BE49-F238E27FC236}">
              <a16:creationId xmlns:a16="http://schemas.microsoft.com/office/drawing/2014/main" id="{45D22E72-4DC8-4D11-9BC8-C252153F46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4648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17</xdr:row>
      <xdr:rowOff>57150</xdr:rowOff>
    </xdr:to>
    <xdr:sp macro="" textlink="">
      <xdr:nvSpPr>
        <xdr:cNvPr id="299" name="AutoShape 4">
          <a:extLst>
            <a:ext uri="{FF2B5EF4-FFF2-40B4-BE49-F238E27FC236}">
              <a16:creationId xmlns:a16="http://schemas.microsoft.com/office/drawing/2014/main" id="{499DACAF-261A-47CD-B0EA-84D7E3A8F9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4648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17</xdr:row>
      <xdr:rowOff>47625</xdr:rowOff>
    </xdr:to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8773A397-B31F-4CAD-80ED-DC95C5EAAD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4638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17</xdr:row>
      <xdr:rowOff>47625</xdr:rowOff>
    </xdr:to>
    <xdr:sp macro="" textlink="">
      <xdr:nvSpPr>
        <xdr:cNvPr id="301" name="AutoShape 4">
          <a:extLst>
            <a:ext uri="{FF2B5EF4-FFF2-40B4-BE49-F238E27FC236}">
              <a16:creationId xmlns:a16="http://schemas.microsoft.com/office/drawing/2014/main" id="{3EB434CA-FE31-4F61-9D53-C862B92A14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4638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17</xdr:row>
      <xdr:rowOff>47625</xdr:rowOff>
    </xdr:to>
    <xdr:sp macro="" textlink="">
      <xdr:nvSpPr>
        <xdr:cNvPr id="302" name="AutoShape 4">
          <a:extLst>
            <a:ext uri="{FF2B5EF4-FFF2-40B4-BE49-F238E27FC236}">
              <a16:creationId xmlns:a16="http://schemas.microsoft.com/office/drawing/2014/main" id="{64DE33F9-919F-46F7-BB84-1E1C9F39EC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4638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17</xdr:row>
      <xdr:rowOff>47625</xdr:rowOff>
    </xdr:to>
    <xdr:sp macro="" textlink="">
      <xdr:nvSpPr>
        <xdr:cNvPr id="303" name="AutoShape 4">
          <a:extLst>
            <a:ext uri="{FF2B5EF4-FFF2-40B4-BE49-F238E27FC236}">
              <a16:creationId xmlns:a16="http://schemas.microsoft.com/office/drawing/2014/main" id="{99E615CD-CF68-4FAF-A3A0-46F794FEAD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4638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17</xdr:row>
      <xdr:rowOff>47625</xdr:rowOff>
    </xdr:to>
    <xdr:sp macro="" textlink="">
      <xdr:nvSpPr>
        <xdr:cNvPr id="304" name="AutoShape 4">
          <a:extLst>
            <a:ext uri="{FF2B5EF4-FFF2-40B4-BE49-F238E27FC236}">
              <a16:creationId xmlns:a16="http://schemas.microsoft.com/office/drawing/2014/main" id="{844C6F06-EA55-4BAD-AC0D-7AD7018E57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4638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17</xdr:row>
      <xdr:rowOff>47625</xdr:rowOff>
    </xdr:to>
    <xdr:sp macro="" textlink="">
      <xdr:nvSpPr>
        <xdr:cNvPr id="305" name="AutoShape 4">
          <a:extLst>
            <a:ext uri="{FF2B5EF4-FFF2-40B4-BE49-F238E27FC236}">
              <a16:creationId xmlns:a16="http://schemas.microsoft.com/office/drawing/2014/main" id="{E6D9E974-5EB1-4037-A290-2DE76BCACF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4638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0</xdr:rowOff>
    </xdr:to>
    <xdr:sp macro="" textlink="">
      <xdr:nvSpPr>
        <xdr:cNvPr id="306" name="AutoShape 4">
          <a:extLst>
            <a:ext uri="{FF2B5EF4-FFF2-40B4-BE49-F238E27FC236}">
              <a16:creationId xmlns:a16="http://schemas.microsoft.com/office/drawing/2014/main" id="{3282AB02-BD36-46D3-97C9-F6FD15A465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381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0</xdr:rowOff>
    </xdr:to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EBFF1E16-B9A1-4F1E-8855-572C15581D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381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0</xdr:rowOff>
    </xdr:to>
    <xdr:sp macro="" textlink="">
      <xdr:nvSpPr>
        <xdr:cNvPr id="308" name="AutoShape 4">
          <a:extLst>
            <a:ext uri="{FF2B5EF4-FFF2-40B4-BE49-F238E27FC236}">
              <a16:creationId xmlns:a16="http://schemas.microsoft.com/office/drawing/2014/main" id="{5AAB46EC-4BCF-4CF9-8061-A407613AC5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381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0</xdr:rowOff>
    </xdr:to>
    <xdr:sp macro="" textlink="">
      <xdr:nvSpPr>
        <xdr:cNvPr id="309" name="AutoShape 4">
          <a:extLst>
            <a:ext uri="{FF2B5EF4-FFF2-40B4-BE49-F238E27FC236}">
              <a16:creationId xmlns:a16="http://schemas.microsoft.com/office/drawing/2014/main" id="{537C7B26-7C5B-4457-9762-CC7A06D278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381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10" name="AutoShape 4">
          <a:extLst>
            <a:ext uri="{FF2B5EF4-FFF2-40B4-BE49-F238E27FC236}">
              <a16:creationId xmlns:a16="http://schemas.microsoft.com/office/drawing/2014/main" id="{DCB73664-0CA5-4C26-8B87-455F6A95B9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11" name="AutoShape 4">
          <a:extLst>
            <a:ext uri="{FF2B5EF4-FFF2-40B4-BE49-F238E27FC236}">
              <a16:creationId xmlns:a16="http://schemas.microsoft.com/office/drawing/2014/main" id="{1520B4CD-B5D1-4A98-AC10-0810034366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12" name="AutoShape 4">
          <a:extLst>
            <a:ext uri="{FF2B5EF4-FFF2-40B4-BE49-F238E27FC236}">
              <a16:creationId xmlns:a16="http://schemas.microsoft.com/office/drawing/2014/main" id="{4592451E-1EDE-4098-B880-A23E7B26EA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13" name="AutoShape 4">
          <a:extLst>
            <a:ext uri="{FF2B5EF4-FFF2-40B4-BE49-F238E27FC236}">
              <a16:creationId xmlns:a16="http://schemas.microsoft.com/office/drawing/2014/main" id="{CD3856C1-0C43-42B9-BE41-FEEC7A30E7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7D9E1AE6-9276-4AA9-BFDA-10C1E4E49F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15" name="AutoShape 4">
          <a:extLst>
            <a:ext uri="{FF2B5EF4-FFF2-40B4-BE49-F238E27FC236}">
              <a16:creationId xmlns:a16="http://schemas.microsoft.com/office/drawing/2014/main" id="{CFDE8C71-49D4-4254-B8AD-129896B775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16" name="AutoShape 4">
          <a:extLst>
            <a:ext uri="{FF2B5EF4-FFF2-40B4-BE49-F238E27FC236}">
              <a16:creationId xmlns:a16="http://schemas.microsoft.com/office/drawing/2014/main" id="{2AE350A9-FA26-41C5-91B1-2A7574F54E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17</xdr:row>
      <xdr:rowOff>57150</xdr:rowOff>
    </xdr:to>
    <xdr:sp macro="" textlink="">
      <xdr:nvSpPr>
        <xdr:cNvPr id="317" name="AutoShape 4">
          <a:extLst>
            <a:ext uri="{FF2B5EF4-FFF2-40B4-BE49-F238E27FC236}">
              <a16:creationId xmlns:a16="http://schemas.microsoft.com/office/drawing/2014/main" id="{39B45485-819E-4D15-9180-0765BD3CCB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4648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17</xdr:row>
      <xdr:rowOff>57150</xdr:rowOff>
    </xdr:to>
    <xdr:sp macro="" textlink="">
      <xdr:nvSpPr>
        <xdr:cNvPr id="318" name="AutoShape 4">
          <a:extLst>
            <a:ext uri="{FF2B5EF4-FFF2-40B4-BE49-F238E27FC236}">
              <a16:creationId xmlns:a16="http://schemas.microsoft.com/office/drawing/2014/main" id="{5725BC35-9A6F-43AA-8187-B55EBC31E5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4648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17</xdr:row>
      <xdr:rowOff>57150</xdr:rowOff>
    </xdr:to>
    <xdr:sp macro="" textlink="">
      <xdr:nvSpPr>
        <xdr:cNvPr id="319" name="AutoShape 4">
          <a:extLst>
            <a:ext uri="{FF2B5EF4-FFF2-40B4-BE49-F238E27FC236}">
              <a16:creationId xmlns:a16="http://schemas.microsoft.com/office/drawing/2014/main" id="{C24FEE7B-783E-4142-B8E1-F3063D11CC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4648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17</xdr:row>
      <xdr:rowOff>57150</xdr:rowOff>
    </xdr:to>
    <xdr:sp macro="" textlink="">
      <xdr:nvSpPr>
        <xdr:cNvPr id="320" name="AutoShape 4">
          <a:extLst>
            <a:ext uri="{FF2B5EF4-FFF2-40B4-BE49-F238E27FC236}">
              <a16:creationId xmlns:a16="http://schemas.microsoft.com/office/drawing/2014/main" id="{0E636801-83B1-4A17-A443-43FA6CD6E8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4648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17</xdr:row>
      <xdr:rowOff>47625</xdr:rowOff>
    </xdr:to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E9F1339B-5EFF-4D78-98E6-7830774610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4638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17</xdr:row>
      <xdr:rowOff>47625</xdr:rowOff>
    </xdr:to>
    <xdr:sp macro="" textlink="">
      <xdr:nvSpPr>
        <xdr:cNvPr id="322" name="AutoShape 4">
          <a:extLst>
            <a:ext uri="{FF2B5EF4-FFF2-40B4-BE49-F238E27FC236}">
              <a16:creationId xmlns:a16="http://schemas.microsoft.com/office/drawing/2014/main" id="{47473356-A745-4B66-B91D-9100AA5CED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4638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17</xdr:row>
      <xdr:rowOff>47625</xdr:rowOff>
    </xdr:to>
    <xdr:sp macro="" textlink="">
      <xdr:nvSpPr>
        <xdr:cNvPr id="323" name="AutoShape 4">
          <a:extLst>
            <a:ext uri="{FF2B5EF4-FFF2-40B4-BE49-F238E27FC236}">
              <a16:creationId xmlns:a16="http://schemas.microsoft.com/office/drawing/2014/main" id="{5B1395DC-30F9-4EC6-B981-DF3322AF7F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4638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17</xdr:row>
      <xdr:rowOff>47625</xdr:rowOff>
    </xdr:to>
    <xdr:sp macro="" textlink="">
      <xdr:nvSpPr>
        <xdr:cNvPr id="324" name="AutoShape 4">
          <a:extLst>
            <a:ext uri="{FF2B5EF4-FFF2-40B4-BE49-F238E27FC236}">
              <a16:creationId xmlns:a16="http://schemas.microsoft.com/office/drawing/2014/main" id="{F3BB9CFE-E999-44DD-B4B3-62340C454D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4638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17</xdr:row>
      <xdr:rowOff>47625</xdr:rowOff>
    </xdr:to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CD6FA2E5-BA68-4F55-9B43-60755CB38C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4638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17</xdr:row>
      <xdr:rowOff>47625</xdr:rowOff>
    </xdr:to>
    <xdr:sp macro="" textlink="">
      <xdr:nvSpPr>
        <xdr:cNvPr id="326" name="AutoShape 4">
          <a:extLst>
            <a:ext uri="{FF2B5EF4-FFF2-40B4-BE49-F238E27FC236}">
              <a16:creationId xmlns:a16="http://schemas.microsoft.com/office/drawing/2014/main" id="{27C3A757-2E91-4F0B-94B1-12FA77722C3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4638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0</xdr:rowOff>
    </xdr:to>
    <xdr:sp macro="" textlink="">
      <xdr:nvSpPr>
        <xdr:cNvPr id="327" name="AutoShape 4">
          <a:extLst>
            <a:ext uri="{FF2B5EF4-FFF2-40B4-BE49-F238E27FC236}">
              <a16:creationId xmlns:a16="http://schemas.microsoft.com/office/drawing/2014/main" id="{65DCF732-BB38-40D4-956E-F47CDD274F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381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0</xdr:rowOff>
    </xdr:to>
    <xdr:sp macro="" textlink="">
      <xdr:nvSpPr>
        <xdr:cNvPr id="328" name="AutoShape 4">
          <a:extLst>
            <a:ext uri="{FF2B5EF4-FFF2-40B4-BE49-F238E27FC236}">
              <a16:creationId xmlns:a16="http://schemas.microsoft.com/office/drawing/2014/main" id="{9AB8FD0B-6D92-4F95-805F-43D976A0EC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381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0</xdr:rowOff>
    </xdr:to>
    <xdr:sp macro="" textlink="">
      <xdr:nvSpPr>
        <xdr:cNvPr id="329" name="AutoShape 4">
          <a:extLst>
            <a:ext uri="{FF2B5EF4-FFF2-40B4-BE49-F238E27FC236}">
              <a16:creationId xmlns:a16="http://schemas.microsoft.com/office/drawing/2014/main" id="{C7679F60-CE44-4C24-94A2-44775D5067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381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0</xdr:rowOff>
    </xdr:to>
    <xdr:sp macro="" textlink="">
      <xdr:nvSpPr>
        <xdr:cNvPr id="330" name="AutoShape 4">
          <a:extLst>
            <a:ext uri="{FF2B5EF4-FFF2-40B4-BE49-F238E27FC236}">
              <a16:creationId xmlns:a16="http://schemas.microsoft.com/office/drawing/2014/main" id="{FEE12F40-15B4-4D8E-9075-D135B4E310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3816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31" name="AutoShape 4">
          <a:extLst>
            <a:ext uri="{FF2B5EF4-FFF2-40B4-BE49-F238E27FC236}">
              <a16:creationId xmlns:a16="http://schemas.microsoft.com/office/drawing/2014/main" id="{D4D79A51-B61A-4AEF-8DA9-6D3E56B0F4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FDA3FFB3-E03B-409F-B77A-C13C7A988C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33" name="AutoShape 4">
          <a:extLst>
            <a:ext uri="{FF2B5EF4-FFF2-40B4-BE49-F238E27FC236}">
              <a16:creationId xmlns:a16="http://schemas.microsoft.com/office/drawing/2014/main" id="{53B46AB0-9505-423A-B2FE-E267B945C3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34" name="AutoShape 4">
          <a:extLst>
            <a:ext uri="{FF2B5EF4-FFF2-40B4-BE49-F238E27FC236}">
              <a16:creationId xmlns:a16="http://schemas.microsoft.com/office/drawing/2014/main" id="{F03CCDBF-D4C1-42A0-901C-259671D177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35" name="AutoShape 4">
          <a:extLst>
            <a:ext uri="{FF2B5EF4-FFF2-40B4-BE49-F238E27FC236}">
              <a16:creationId xmlns:a16="http://schemas.microsoft.com/office/drawing/2014/main" id="{04D63918-55A5-4EA0-B49A-230F788AC5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36" name="AutoShape 4">
          <a:extLst>
            <a:ext uri="{FF2B5EF4-FFF2-40B4-BE49-F238E27FC236}">
              <a16:creationId xmlns:a16="http://schemas.microsoft.com/office/drawing/2014/main" id="{824A34BB-8482-40ED-A2D6-97A4262061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37" name="AutoShape 4">
          <a:extLst>
            <a:ext uri="{FF2B5EF4-FFF2-40B4-BE49-F238E27FC236}">
              <a16:creationId xmlns:a16="http://schemas.microsoft.com/office/drawing/2014/main" id="{037729A1-0A50-4007-815C-82233AAAC4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338" name="AutoShape 4">
          <a:extLst>
            <a:ext uri="{FF2B5EF4-FFF2-40B4-BE49-F238E27FC236}">
              <a16:creationId xmlns:a16="http://schemas.microsoft.com/office/drawing/2014/main" id="{56DEF867-F108-4E8E-A2A1-E99A2AB3F3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279EA603-C320-4509-874D-920D42F925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340" name="AutoShape 4">
          <a:extLst>
            <a:ext uri="{FF2B5EF4-FFF2-40B4-BE49-F238E27FC236}">
              <a16:creationId xmlns:a16="http://schemas.microsoft.com/office/drawing/2014/main" id="{7D8956A6-CD56-4EA5-B4E3-433598E38A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341" name="AutoShape 4">
          <a:extLst>
            <a:ext uri="{FF2B5EF4-FFF2-40B4-BE49-F238E27FC236}">
              <a16:creationId xmlns:a16="http://schemas.microsoft.com/office/drawing/2014/main" id="{F446947F-CB5A-4299-A4E8-DB0FDDCEA0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42" name="AutoShape 4">
          <a:extLst>
            <a:ext uri="{FF2B5EF4-FFF2-40B4-BE49-F238E27FC236}">
              <a16:creationId xmlns:a16="http://schemas.microsoft.com/office/drawing/2014/main" id="{7B5DA072-7876-4BDE-9F31-9EDD4B26F4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43" name="AutoShape 4">
          <a:extLst>
            <a:ext uri="{FF2B5EF4-FFF2-40B4-BE49-F238E27FC236}">
              <a16:creationId xmlns:a16="http://schemas.microsoft.com/office/drawing/2014/main" id="{B46CA331-4AEA-4EB6-968A-BB6674E924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44" name="AutoShape 4">
          <a:extLst>
            <a:ext uri="{FF2B5EF4-FFF2-40B4-BE49-F238E27FC236}">
              <a16:creationId xmlns:a16="http://schemas.microsoft.com/office/drawing/2014/main" id="{7F82A796-8730-4DC9-AF62-D1A37C0E9C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45" name="AutoShape 4">
          <a:extLst>
            <a:ext uri="{FF2B5EF4-FFF2-40B4-BE49-F238E27FC236}">
              <a16:creationId xmlns:a16="http://schemas.microsoft.com/office/drawing/2014/main" id="{99DAA3D6-5C63-419C-B2A9-C035CBBCC4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91884CF1-92C2-4006-9C9B-AF4C4A8AD9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47" name="AutoShape 4">
          <a:extLst>
            <a:ext uri="{FF2B5EF4-FFF2-40B4-BE49-F238E27FC236}">
              <a16:creationId xmlns:a16="http://schemas.microsoft.com/office/drawing/2014/main" id="{349AE9DB-E4FC-467B-A1C9-C92295054A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0</xdr:rowOff>
    </xdr:to>
    <xdr:sp macro="" textlink="">
      <xdr:nvSpPr>
        <xdr:cNvPr id="348" name="AutoShape 4">
          <a:extLst>
            <a:ext uri="{FF2B5EF4-FFF2-40B4-BE49-F238E27FC236}">
              <a16:creationId xmlns:a16="http://schemas.microsoft.com/office/drawing/2014/main" id="{CC72521A-B5FF-4749-913C-8DEA17002E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38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0</xdr:rowOff>
    </xdr:to>
    <xdr:sp macro="" textlink="">
      <xdr:nvSpPr>
        <xdr:cNvPr id="349" name="AutoShape 4">
          <a:extLst>
            <a:ext uri="{FF2B5EF4-FFF2-40B4-BE49-F238E27FC236}">
              <a16:creationId xmlns:a16="http://schemas.microsoft.com/office/drawing/2014/main" id="{62945E34-8E17-40FB-8EE9-ECAD3FCFBE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38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0</xdr:rowOff>
    </xdr:to>
    <xdr:sp macro="" textlink="">
      <xdr:nvSpPr>
        <xdr:cNvPr id="350" name="AutoShape 4">
          <a:extLst>
            <a:ext uri="{FF2B5EF4-FFF2-40B4-BE49-F238E27FC236}">
              <a16:creationId xmlns:a16="http://schemas.microsoft.com/office/drawing/2014/main" id="{251B41DD-B3E4-42B9-8A0C-CF352E79B5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38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0</xdr:rowOff>
    </xdr:to>
    <xdr:sp macro="" textlink="">
      <xdr:nvSpPr>
        <xdr:cNvPr id="351" name="AutoShape 4">
          <a:extLst>
            <a:ext uri="{FF2B5EF4-FFF2-40B4-BE49-F238E27FC236}">
              <a16:creationId xmlns:a16="http://schemas.microsoft.com/office/drawing/2014/main" id="{1FB9DC8E-483A-4A35-8A09-DB40A82DEB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38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352" name="AutoShape 4">
          <a:extLst>
            <a:ext uri="{FF2B5EF4-FFF2-40B4-BE49-F238E27FC236}">
              <a16:creationId xmlns:a16="http://schemas.microsoft.com/office/drawing/2014/main" id="{78A1A555-2083-4814-B254-151DB15D9D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1B5B9CC9-3AC3-46C3-B36B-54BC7184A8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354" name="AutoShape 4">
          <a:extLst>
            <a:ext uri="{FF2B5EF4-FFF2-40B4-BE49-F238E27FC236}">
              <a16:creationId xmlns:a16="http://schemas.microsoft.com/office/drawing/2014/main" id="{EFEF23D0-9AAE-46E9-BDBB-9179D5C544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355" name="AutoShape 4">
          <a:extLst>
            <a:ext uri="{FF2B5EF4-FFF2-40B4-BE49-F238E27FC236}">
              <a16:creationId xmlns:a16="http://schemas.microsoft.com/office/drawing/2014/main" id="{F2640B99-9A49-4377-88E7-24888423D6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356" name="AutoShape 4">
          <a:extLst>
            <a:ext uri="{FF2B5EF4-FFF2-40B4-BE49-F238E27FC236}">
              <a16:creationId xmlns:a16="http://schemas.microsoft.com/office/drawing/2014/main" id="{AF02D531-663C-426E-919C-E19FC4AEBE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357" name="AutoShape 4">
          <a:extLst>
            <a:ext uri="{FF2B5EF4-FFF2-40B4-BE49-F238E27FC236}">
              <a16:creationId xmlns:a16="http://schemas.microsoft.com/office/drawing/2014/main" id="{BB67B497-2C7C-4C2A-BFC4-26392D1CF0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358" name="AutoShape 4">
          <a:extLst>
            <a:ext uri="{FF2B5EF4-FFF2-40B4-BE49-F238E27FC236}">
              <a16:creationId xmlns:a16="http://schemas.microsoft.com/office/drawing/2014/main" id="{DA0D1867-6F87-4BEC-97C1-026487A115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359" name="AutoShape 4">
          <a:extLst>
            <a:ext uri="{FF2B5EF4-FFF2-40B4-BE49-F238E27FC236}">
              <a16:creationId xmlns:a16="http://schemas.microsoft.com/office/drawing/2014/main" id="{7E43B2AF-3909-4F8A-8956-7436ED5569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39774F39-1BB4-4547-8444-7282D242FB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361" name="AutoShape 4">
          <a:extLst>
            <a:ext uri="{FF2B5EF4-FFF2-40B4-BE49-F238E27FC236}">
              <a16:creationId xmlns:a16="http://schemas.microsoft.com/office/drawing/2014/main" id="{21AA0E51-E8AA-475A-BD81-380026FE9C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362" name="AutoShape 4">
          <a:extLst>
            <a:ext uri="{FF2B5EF4-FFF2-40B4-BE49-F238E27FC236}">
              <a16:creationId xmlns:a16="http://schemas.microsoft.com/office/drawing/2014/main" id="{9343FF17-81B3-4959-A5EA-F8C5A84FEF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63" name="AutoShape 4">
          <a:extLst>
            <a:ext uri="{FF2B5EF4-FFF2-40B4-BE49-F238E27FC236}">
              <a16:creationId xmlns:a16="http://schemas.microsoft.com/office/drawing/2014/main" id="{1FF3C403-D336-4E9E-ACEB-3B933D25BB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64" name="AutoShape 4">
          <a:extLst>
            <a:ext uri="{FF2B5EF4-FFF2-40B4-BE49-F238E27FC236}">
              <a16:creationId xmlns:a16="http://schemas.microsoft.com/office/drawing/2014/main" id="{B486E8FA-477F-4B8B-988E-25017719F0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65" name="AutoShape 4">
          <a:extLst>
            <a:ext uri="{FF2B5EF4-FFF2-40B4-BE49-F238E27FC236}">
              <a16:creationId xmlns:a16="http://schemas.microsoft.com/office/drawing/2014/main" id="{DA6031D5-E7D3-4BC0-9112-94AD78EB6D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66" name="AutoShape 4">
          <a:extLst>
            <a:ext uri="{FF2B5EF4-FFF2-40B4-BE49-F238E27FC236}">
              <a16:creationId xmlns:a16="http://schemas.microsoft.com/office/drawing/2014/main" id="{4437171F-6A6C-4EDE-8289-E8776C1109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B0CC2A78-7334-4B01-A700-D7230E0ED4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68" name="AutoShape 4">
          <a:extLst>
            <a:ext uri="{FF2B5EF4-FFF2-40B4-BE49-F238E27FC236}">
              <a16:creationId xmlns:a16="http://schemas.microsoft.com/office/drawing/2014/main" id="{FF19B81D-6DDB-45FC-AB42-6EC6353834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0</xdr:rowOff>
    </xdr:to>
    <xdr:sp macro="" textlink="">
      <xdr:nvSpPr>
        <xdr:cNvPr id="369" name="AutoShape 4">
          <a:extLst>
            <a:ext uri="{FF2B5EF4-FFF2-40B4-BE49-F238E27FC236}">
              <a16:creationId xmlns:a16="http://schemas.microsoft.com/office/drawing/2014/main" id="{5A65187F-8885-4D91-B839-E10D6ADC07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38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0</xdr:rowOff>
    </xdr:to>
    <xdr:sp macro="" textlink="">
      <xdr:nvSpPr>
        <xdr:cNvPr id="370" name="AutoShape 4">
          <a:extLst>
            <a:ext uri="{FF2B5EF4-FFF2-40B4-BE49-F238E27FC236}">
              <a16:creationId xmlns:a16="http://schemas.microsoft.com/office/drawing/2014/main" id="{29B09491-947C-4C5C-8CAE-014F564D40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38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0</xdr:rowOff>
    </xdr:to>
    <xdr:sp macro="" textlink="">
      <xdr:nvSpPr>
        <xdr:cNvPr id="371" name="AutoShape 4">
          <a:extLst>
            <a:ext uri="{FF2B5EF4-FFF2-40B4-BE49-F238E27FC236}">
              <a16:creationId xmlns:a16="http://schemas.microsoft.com/office/drawing/2014/main" id="{EBEFD9CF-6E00-4A37-ADFA-E5DDF5CE92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38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0</xdr:rowOff>
    </xdr:to>
    <xdr:sp macro="" textlink="">
      <xdr:nvSpPr>
        <xdr:cNvPr id="372" name="AutoShape 4">
          <a:extLst>
            <a:ext uri="{FF2B5EF4-FFF2-40B4-BE49-F238E27FC236}">
              <a16:creationId xmlns:a16="http://schemas.microsoft.com/office/drawing/2014/main" id="{88FE6A33-EA87-43E1-BCBB-906829A02B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388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373" name="AutoShape 4">
          <a:extLst>
            <a:ext uri="{FF2B5EF4-FFF2-40B4-BE49-F238E27FC236}">
              <a16:creationId xmlns:a16="http://schemas.microsoft.com/office/drawing/2014/main" id="{95A31367-03A8-4CD5-952E-D9A3B42B0D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DA1C193-7752-4FDE-A849-1DC4F19218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375" name="AutoShape 4">
          <a:extLst>
            <a:ext uri="{FF2B5EF4-FFF2-40B4-BE49-F238E27FC236}">
              <a16:creationId xmlns:a16="http://schemas.microsoft.com/office/drawing/2014/main" id="{93E8C84E-B5FE-42B6-89B6-8260073E61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376" name="AutoShape 4">
          <a:extLst>
            <a:ext uri="{FF2B5EF4-FFF2-40B4-BE49-F238E27FC236}">
              <a16:creationId xmlns:a16="http://schemas.microsoft.com/office/drawing/2014/main" id="{0C790662-4BFB-4263-92FE-376DE6768F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377" name="AutoShape 4">
          <a:extLst>
            <a:ext uri="{FF2B5EF4-FFF2-40B4-BE49-F238E27FC236}">
              <a16:creationId xmlns:a16="http://schemas.microsoft.com/office/drawing/2014/main" id="{016FC365-76DC-4D76-9C2A-35748E268F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378" name="AutoShape 4">
          <a:extLst>
            <a:ext uri="{FF2B5EF4-FFF2-40B4-BE49-F238E27FC236}">
              <a16:creationId xmlns:a16="http://schemas.microsoft.com/office/drawing/2014/main" id="{08548950-BD13-4013-A0A5-7E663846B2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379" name="AutoShape 4">
          <a:extLst>
            <a:ext uri="{FF2B5EF4-FFF2-40B4-BE49-F238E27FC236}">
              <a16:creationId xmlns:a16="http://schemas.microsoft.com/office/drawing/2014/main" id="{ACB2C1B9-D8A9-4906-91B8-A28C0A3ED5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380" name="AutoShape 4">
          <a:extLst>
            <a:ext uri="{FF2B5EF4-FFF2-40B4-BE49-F238E27FC236}">
              <a16:creationId xmlns:a16="http://schemas.microsoft.com/office/drawing/2014/main" id="{F0948AAF-664E-4B5C-A10C-29CE3BCC76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D78CDA5E-F77C-4814-95CB-A54AE82DD8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382" name="AutoShape 4">
          <a:extLst>
            <a:ext uri="{FF2B5EF4-FFF2-40B4-BE49-F238E27FC236}">
              <a16:creationId xmlns:a16="http://schemas.microsoft.com/office/drawing/2014/main" id="{39C79F7C-BCBF-4485-B4F0-110557353F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383" name="AutoShape 4">
          <a:extLst>
            <a:ext uri="{FF2B5EF4-FFF2-40B4-BE49-F238E27FC236}">
              <a16:creationId xmlns:a16="http://schemas.microsoft.com/office/drawing/2014/main" id="{5C92AD34-1DE5-4181-9EA7-7396BADB60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84" name="AutoShape 4">
          <a:extLst>
            <a:ext uri="{FF2B5EF4-FFF2-40B4-BE49-F238E27FC236}">
              <a16:creationId xmlns:a16="http://schemas.microsoft.com/office/drawing/2014/main" id="{4C89DBA0-7A44-47BA-A76A-3D6B3DEDB2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85" name="AutoShape 4">
          <a:extLst>
            <a:ext uri="{FF2B5EF4-FFF2-40B4-BE49-F238E27FC236}">
              <a16:creationId xmlns:a16="http://schemas.microsoft.com/office/drawing/2014/main" id="{DDAF9FAC-2485-4A84-93DF-6B99C33953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86" name="AutoShape 4">
          <a:extLst>
            <a:ext uri="{FF2B5EF4-FFF2-40B4-BE49-F238E27FC236}">
              <a16:creationId xmlns:a16="http://schemas.microsoft.com/office/drawing/2014/main" id="{A312087B-7A1E-4F37-80C7-3C4470B11B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87" name="AutoShape 4">
          <a:extLst>
            <a:ext uri="{FF2B5EF4-FFF2-40B4-BE49-F238E27FC236}">
              <a16:creationId xmlns:a16="http://schemas.microsoft.com/office/drawing/2014/main" id="{4858A731-F486-4888-BAF8-D63E430F7C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FC5F3AD6-561D-4C79-98EC-9BB0CD71D0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389" name="AutoShape 4">
          <a:extLst>
            <a:ext uri="{FF2B5EF4-FFF2-40B4-BE49-F238E27FC236}">
              <a16:creationId xmlns:a16="http://schemas.microsoft.com/office/drawing/2014/main" id="{46996F09-ECE6-4363-8AE5-F0049A6785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390" name="AutoShape 4">
          <a:extLst>
            <a:ext uri="{FF2B5EF4-FFF2-40B4-BE49-F238E27FC236}">
              <a16:creationId xmlns:a16="http://schemas.microsoft.com/office/drawing/2014/main" id="{BE063C18-58E6-49F9-AEC8-705B9F9A42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391" name="AutoShape 4">
          <a:extLst>
            <a:ext uri="{FF2B5EF4-FFF2-40B4-BE49-F238E27FC236}">
              <a16:creationId xmlns:a16="http://schemas.microsoft.com/office/drawing/2014/main" id="{E829DE63-B419-4E11-9020-3910F44B84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392" name="AutoShape 4">
          <a:extLst>
            <a:ext uri="{FF2B5EF4-FFF2-40B4-BE49-F238E27FC236}">
              <a16:creationId xmlns:a16="http://schemas.microsoft.com/office/drawing/2014/main" id="{07E525FF-6B4C-46A7-AC8B-B50BFE5F8B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393" name="AutoShape 4">
          <a:extLst>
            <a:ext uri="{FF2B5EF4-FFF2-40B4-BE49-F238E27FC236}">
              <a16:creationId xmlns:a16="http://schemas.microsoft.com/office/drawing/2014/main" id="{31EA07FB-1486-4C47-B932-DFAC85C746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394" name="AutoShape 4">
          <a:extLst>
            <a:ext uri="{FF2B5EF4-FFF2-40B4-BE49-F238E27FC236}">
              <a16:creationId xmlns:a16="http://schemas.microsoft.com/office/drawing/2014/main" id="{0DFBD361-6562-444E-8C72-507235B366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C31FDFDF-98F1-4D8C-B032-319FA01EF7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396" name="AutoShape 4">
          <a:extLst>
            <a:ext uri="{FF2B5EF4-FFF2-40B4-BE49-F238E27FC236}">
              <a16:creationId xmlns:a16="http://schemas.microsoft.com/office/drawing/2014/main" id="{FBEB4C42-E915-4C8C-9995-33C38EA4DE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397" name="AutoShape 4">
          <a:extLst>
            <a:ext uri="{FF2B5EF4-FFF2-40B4-BE49-F238E27FC236}">
              <a16:creationId xmlns:a16="http://schemas.microsoft.com/office/drawing/2014/main" id="{45CE72FA-78C1-44C6-ACA5-4CCB10AB12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398" name="AutoShape 4">
          <a:extLst>
            <a:ext uri="{FF2B5EF4-FFF2-40B4-BE49-F238E27FC236}">
              <a16:creationId xmlns:a16="http://schemas.microsoft.com/office/drawing/2014/main" id="{5C72FF4C-40BE-4F1E-BBCD-1A14BB638E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399" name="AutoShape 4">
          <a:extLst>
            <a:ext uri="{FF2B5EF4-FFF2-40B4-BE49-F238E27FC236}">
              <a16:creationId xmlns:a16="http://schemas.microsoft.com/office/drawing/2014/main" id="{E31F9A04-8585-4633-8D34-14F8ACD024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00" name="AutoShape 4">
          <a:extLst>
            <a:ext uri="{FF2B5EF4-FFF2-40B4-BE49-F238E27FC236}">
              <a16:creationId xmlns:a16="http://schemas.microsoft.com/office/drawing/2014/main" id="{5E242BBF-E932-49D5-9C3C-F7B21EAF8E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401" name="AutoShape 4">
          <a:extLst>
            <a:ext uri="{FF2B5EF4-FFF2-40B4-BE49-F238E27FC236}">
              <a16:creationId xmlns:a16="http://schemas.microsoft.com/office/drawing/2014/main" id="{FCDC21A6-C120-4CC3-912B-631518E329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6DC37FE-F87A-46AE-9D57-526043F978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403" name="AutoShape 4">
          <a:extLst>
            <a:ext uri="{FF2B5EF4-FFF2-40B4-BE49-F238E27FC236}">
              <a16:creationId xmlns:a16="http://schemas.microsoft.com/office/drawing/2014/main" id="{45D1E33A-E9D7-4257-8D49-2476DD7378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19</xdr:row>
      <xdr:rowOff>57150</xdr:rowOff>
    </xdr:to>
    <xdr:sp macro="" textlink="">
      <xdr:nvSpPr>
        <xdr:cNvPr id="404" name="AutoShape 4">
          <a:extLst>
            <a:ext uri="{FF2B5EF4-FFF2-40B4-BE49-F238E27FC236}">
              <a16:creationId xmlns:a16="http://schemas.microsoft.com/office/drawing/2014/main" id="{D0157A5F-9E87-4B68-8F8F-D5D3D24CA0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18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405" name="AutoShape 4">
          <a:extLst>
            <a:ext uri="{FF2B5EF4-FFF2-40B4-BE49-F238E27FC236}">
              <a16:creationId xmlns:a16="http://schemas.microsoft.com/office/drawing/2014/main" id="{D7CFA9AB-3156-405A-9088-0CA009CBB3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406" name="AutoShape 4">
          <a:extLst>
            <a:ext uri="{FF2B5EF4-FFF2-40B4-BE49-F238E27FC236}">
              <a16:creationId xmlns:a16="http://schemas.microsoft.com/office/drawing/2014/main" id="{371FE218-88C1-4CAC-89BD-784546B13E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407" name="AutoShape 4">
          <a:extLst>
            <a:ext uri="{FF2B5EF4-FFF2-40B4-BE49-F238E27FC236}">
              <a16:creationId xmlns:a16="http://schemas.microsoft.com/office/drawing/2014/main" id="{C4797C0E-C10A-4610-A53B-CEEDF21903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408" name="AutoShape 4">
          <a:extLst>
            <a:ext uri="{FF2B5EF4-FFF2-40B4-BE49-F238E27FC236}">
              <a16:creationId xmlns:a16="http://schemas.microsoft.com/office/drawing/2014/main" id="{EA8A1D94-3018-477A-A096-44DDC5ECE9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C4C100F5-983C-41C0-9DCA-26E8F3588E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19</xdr:row>
      <xdr:rowOff>47625</xdr:rowOff>
    </xdr:to>
    <xdr:sp macro="" textlink="">
      <xdr:nvSpPr>
        <xdr:cNvPr id="410" name="AutoShape 4">
          <a:extLst>
            <a:ext uri="{FF2B5EF4-FFF2-40B4-BE49-F238E27FC236}">
              <a16:creationId xmlns:a16="http://schemas.microsoft.com/office/drawing/2014/main" id="{2BBE0CA8-AE43-4CA0-868F-9EA62156A2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1720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411" name="AutoShape 4">
          <a:extLst>
            <a:ext uri="{FF2B5EF4-FFF2-40B4-BE49-F238E27FC236}">
              <a16:creationId xmlns:a16="http://schemas.microsoft.com/office/drawing/2014/main" id="{B298A414-AACC-4C65-B918-5344266150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412" name="AutoShape 4">
          <a:extLst>
            <a:ext uri="{FF2B5EF4-FFF2-40B4-BE49-F238E27FC236}">
              <a16:creationId xmlns:a16="http://schemas.microsoft.com/office/drawing/2014/main" id="{8C6C044B-A4C4-4D7B-A32A-F487450483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413" name="AutoShape 4">
          <a:extLst>
            <a:ext uri="{FF2B5EF4-FFF2-40B4-BE49-F238E27FC236}">
              <a16:creationId xmlns:a16="http://schemas.microsoft.com/office/drawing/2014/main" id="{C83C5E5D-B24F-47DD-AA70-63A32E2022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414" name="AutoShape 4">
          <a:extLst>
            <a:ext uri="{FF2B5EF4-FFF2-40B4-BE49-F238E27FC236}">
              <a16:creationId xmlns:a16="http://schemas.microsoft.com/office/drawing/2014/main" id="{E42E8BC7-C468-4DCF-A4B0-AEE6C12BCD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15" name="AutoShape 4">
          <a:extLst>
            <a:ext uri="{FF2B5EF4-FFF2-40B4-BE49-F238E27FC236}">
              <a16:creationId xmlns:a16="http://schemas.microsoft.com/office/drawing/2014/main" id="{1AAFD523-71E0-4088-9CEB-CE3826E959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A76C6A06-CA4F-4E2B-BCB8-280A5F4614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17" name="AutoShape 4">
          <a:extLst>
            <a:ext uri="{FF2B5EF4-FFF2-40B4-BE49-F238E27FC236}">
              <a16:creationId xmlns:a16="http://schemas.microsoft.com/office/drawing/2014/main" id="{1CEE01BA-E089-415C-8904-DEE211D458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18" name="AutoShape 4">
          <a:extLst>
            <a:ext uri="{FF2B5EF4-FFF2-40B4-BE49-F238E27FC236}">
              <a16:creationId xmlns:a16="http://schemas.microsoft.com/office/drawing/2014/main" id="{4D75A86F-278B-4B35-A53B-5A2C42A54A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19" name="AutoShape 4">
          <a:extLst>
            <a:ext uri="{FF2B5EF4-FFF2-40B4-BE49-F238E27FC236}">
              <a16:creationId xmlns:a16="http://schemas.microsoft.com/office/drawing/2014/main" id="{BF029FAA-B948-430E-957A-6707343BD0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20" name="AutoShape 4">
          <a:extLst>
            <a:ext uri="{FF2B5EF4-FFF2-40B4-BE49-F238E27FC236}">
              <a16:creationId xmlns:a16="http://schemas.microsoft.com/office/drawing/2014/main" id="{A620E75C-7F47-49C8-9286-7A02C837DE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21" name="AutoShape 4">
          <a:extLst>
            <a:ext uri="{FF2B5EF4-FFF2-40B4-BE49-F238E27FC236}">
              <a16:creationId xmlns:a16="http://schemas.microsoft.com/office/drawing/2014/main" id="{6C9A7015-9C5B-45AF-960B-542BAB6A8F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20</xdr:row>
      <xdr:rowOff>57150</xdr:rowOff>
    </xdr:to>
    <xdr:sp macro="" textlink="">
      <xdr:nvSpPr>
        <xdr:cNvPr id="422" name="AutoShape 4">
          <a:extLst>
            <a:ext uri="{FF2B5EF4-FFF2-40B4-BE49-F238E27FC236}">
              <a16:creationId xmlns:a16="http://schemas.microsoft.com/office/drawing/2014/main" id="{E3A80A43-B517-46A0-8895-89F41F98AA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438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20</xdr:row>
      <xdr:rowOff>57150</xdr:rowOff>
    </xdr:to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8A7E106-3356-45D2-82F3-DE7F93A8F6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438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20</xdr:row>
      <xdr:rowOff>57150</xdr:rowOff>
    </xdr:to>
    <xdr:sp macro="" textlink="">
      <xdr:nvSpPr>
        <xdr:cNvPr id="424" name="AutoShape 4">
          <a:extLst>
            <a:ext uri="{FF2B5EF4-FFF2-40B4-BE49-F238E27FC236}">
              <a16:creationId xmlns:a16="http://schemas.microsoft.com/office/drawing/2014/main" id="{EF0EBD02-DB23-4B76-BB45-CD775CCDE4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438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20</xdr:row>
      <xdr:rowOff>57150</xdr:rowOff>
    </xdr:to>
    <xdr:sp macro="" textlink="">
      <xdr:nvSpPr>
        <xdr:cNvPr id="425" name="AutoShape 4">
          <a:extLst>
            <a:ext uri="{FF2B5EF4-FFF2-40B4-BE49-F238E27FC236}">
              <a16:creationId xmlns:a16="http://schemas.microsoft.com/office/drawing/2014/main" id="{7DA635F7-8BB6-44FD-B1A9-D71A7CB184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438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426" name="AutoShape 4">
          <a:extLst>
            <a:ext uri="{FF2B5EF4-FFF2-40B4-BE49-F238E27FC236}">
              <a16:creationId xmlns:a16="http://schemas.microsoft.com/office/drawing/2014/main" id="{5181066F-897C-4B71-8431-B707A6F471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427" name="AutoShape 4">
          <a:extLst>
            <a:ext uri="{FF2B5EF4-FFF2-40B4-BE49-F238E27FC236}">
              <a16:creationId xmlns:a16="http://schemas.microsoft.com/office/drawing/2014/main" id="{45B2A894-FB53-4610-A471-534F1A7349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428" name="AutoShape 4">
          <a:extLst>
            <a:ext uri="{FF2B5EF4-FFF2-40B4-BE49-F238E27FC236}">
              <a16:creationId xmlns:a16="http://schemas.microsoft.com/office/drawing/2014/main" id="{1C17F10B-B6F8-46F0-BDD6-7C3E9DC9EF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429" name="AutoShape 4">
          <a:extLst>
            <a:ext uri="{FF2B5EF4-FFF2-40B4-BE49-F238E27FC236}">
              <a16:creationId xmlns:a16="http://schemas.microsoft.com/office/drawing/2014/main" id="{2AC48F34-F299-4141-896C-F5996957FC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B0AE1A9A-AA20-4F47-ACE5-85441A29AE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431" name="AutoShape 4">
          <a:extLst>
            <a:ext uri="{FF2B5EF4-FFF2-40B4-BE49-F238E27FC236}">
              <a16:creationId xmlns:a16="http://schemas.microsoft.com/office/drawing/2014/main" id="{D0615CE3-C714-415F-AC5A-2E7BE5DA64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432" name="AutoShape 4">
          <a:extLst>
            <a:ext uri="{FF2B5EF4-FFF2-40B4-BE49-F238E27FC236}">
              <a16:creationId xmlns:a16="http://schemas.microsoft.com/office/drawing/2014/main" id="{545BDFC8-6381-4D63-8162-DE8C74A6A9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433" name="AutoShape 4">
          <a:extLst>
            <a:ext uri="{FF2B5EF4-FFF2-40B4-BE49-F238E27FC236}">
              <a16:creationId xmlns:a16="http://schemas.microsoft.com/office/drawing/2014/main" id="{3DDDFD2D-5753-4E7A-B855-5C3EF65B69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434" name="AutoShape 4">
          <a:extLst>
            <a:ext uri="{FF2B5EF4-FFF2-40B4-BE49-F238E27FC236}">
              <a16:creationId xmlns:a16="http://schemas.microsoft.com/office/drawing/2014/main" id="{D99E4DDC-5BBC-441E-8A89-D2BBABAFD8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435" name="AutoShape 4">
          <a:extLst>
            <a:ext uri="{FF2B5EF4-FFF2-40B4-BE49-F238E27FC236}">
              <a16:creationId xmlns:a16="http://schemas.microsoft.com/office/drawing/2014/main" id="{A3CAE5DE-5A5B-4495-9197-AEE2CDC2B4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36" name="AutoShape 4">
          <a:extLst>
            <a:ext uri="{FF2B5EF4-FFF2-40B4-BE49-F238E27FC236}">
              <a16:creationId xmlns:a16="http://schemas.microsoft.com/office/drawing/2014/main" id="{1560C998-05A7-41BD-B8EF-86FC0EB291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2C8A9C62-A536-4217-8633-AC0B936BE2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38" name="AutoShape 4">
          <a:extLst>
            <a:ext uri="{FF2B5EF4-FFF2-40B4-BE49-F238E27FC236}">
              <a16:creationId xmlns:a16="http://schemas.microsoft.com/office/drawing/2014/main" id="{04750267-104E-4CFF-86AC-3AED6A7827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39" name="AutoShape 4">
          <a:extLst>
            <a:ext uri="{FF2B5EF4-FFF2-40B4-BE49-F238E27FC236}">
              <a16:creationId xmlns:a16="http://schemas.microsoft.com/office/drawing/2014/main" id="{E386AC6C-17AC-4B72-B551-0C882EB919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40" name="AutoShape 4">
          <a:extLst>
            <a:ext uri="{FF2B5EF4-FFF2-40B4-BE49-F238E27FC236}">
              <a16:creationId xmlns:a16="http://schemas.microsoft.com/office/drawing/2014/main" id="{D6C0EA52-9384-473E-A002-5298F98826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41" name="AutoShape 4">
          <a:extLst>
            <a:ext uri="{FF2B5EF4-FFF2-40B4-BE49-F238E27FC236}">
              <a16:creationId xmlns:a16="http://schemas.microsoft.com/office/drawing/2014/main" id="{BD2A77CE-836D-41E3-AA9C-9E66CF0A5A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42" name="AutoShape 4">
          <a:extLst>
            <a:ext uri="{FF2B5EF4-FFF2-40B4-BE49-F238E27FC236}">
              <a16:creationId xmlns:a16="http://schemas.microsoft.com/office/drawing/2014/main" id="{CBDDF19A-9B07-4A0C-BC48-5A8BDA932C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20</xdr:row>
      <xdr:rowOff>57150</xdr:rowOff>
    </xdr:to>
    <xdr:sp macro="" textlink="">
      <xdr:nvSpPr>
        <xdr:cNvPr id="443" name="AutoShape 4">
          <a:extLst>
            <a:ext uri="{FF2B5EF4-FFF2-40B4-BE49-F238E27FC236}">
              <a16:creationId xmlns:a16="http://schemas.microsoft.com/office/drawing/2014/main" id="{9D0DC5FE-A7AD-4889-9BA7-262441497D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438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20</xdr:row>
      <xdr:rowOff>57150</xdr:rowOff>
    </xdr:to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609B3D71-0DCB-441B-8597-CDD9F795E5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438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20</xdr:row>
      <xdr:rowOff>57150</xdr:rowOff>
    </xdr:to>
    <xdr:sp macro="" textlink="">
      <xdr:nvSpPr>
        <xdr:cNvPr id="445" name="AutoShape 4">
          <a:extLst>
            <a:ext uri="{FF2B5EF4-FFF2-40B4-BE49-F238E27FC236}">
              <a16:creationId xmlns:a16="http://schemas.microsoft.com/office/drawing/2014/main" id="{263A428C-CCED-49E8-B344-A98E6AA7A4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438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20</xdr:row>
      <xdr:rowOff>57150</xdr:rowOff>
    </xdr:to>
    <xdr:sp macro="" textlink="">
      <xdr:nvSpPr>
        <xdr:cNvPr id="446" name="AutoShape 4">
          <a:extLst>
            <a:ext uri="{FF2B5EF4-FFF2-40B4-BE49-F238E27FC236}">
              <a16:creationId xmlns:a16="http://schemas.microsoft.com/office/drawing/2014/main" id="{0ECFE674-07C6-4205-9237-F8949ECD42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438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447" name="AutoShape 4">
          <a:extLst>
            <a:ext uri="{FF2B5EF4-FFF2-40B4-BE49-F238E27FC236}">
              <a16:creationId xmlns:a16="http://schemas.microsoft.com/office/drawing/2014/main" id="{B1D34FBE-1C9E-45D2-86EE-27302C17E7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448" name="AutoShape 4">
          <a:extLst>
            <a:ext uri="{FF2B5EF4-FFF2-40B4-BE49-F238E27FC236}">
              <a16:creationId xmlns:a16="http://schemas.microsoft.com/office/drawing/2014/main" id="{510CBAEF-1FB6-4B30-B80F-3B70BC1937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449" name="AutoShape 4">
          <a:extLst>
            <a:ext uri="{FF2B5EF4-FFF2-40B4-BE49-F238E27FC236}">
              <a16:creationId xmlns:a16="http://schemas.microsoft.com/office/drawing/2014/main" id="{EB4A7F41-95A0-4965-8E60-14AFF2ABE2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450" name="AutoShape 4">
          <a:extLst>
            <a:ext uri="{FF2B5EF4-FFF2-40B4-BE49-F238E27FC236}">
              <a16:creationId xmlns:a16="http://schemas.microsoft.com/office/drawing/2014/main" id="{7334B93D-7D7D-4431-BD32-8C0C04CDA1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8B9CAE89-6BA2-4473-B2A7-9D586830DF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20</xdr:row>
      <xdr:rowOff>47625</xdr:rowOff>
    </xdr:to>
    <xdr:sp macro="" textlink="">
      <xdr:nvSpPr>
        <xdr:cNvPr id="452" name="AutoShape 4">
          <a:extLst>
            <a:ext uri="{FF2B5EF4-FFF2-40B4-BE49-F238E27FC236}">
              <a16:creationId xmlns:a16="http://schemas.microsoft.com/office/drawing/2014/main" id="{13DA87A5-D7E4-499F-B1C6-E14B1587A9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4292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453" name="AutoShape 4">
          <a:extLst>
            <a:ext uri="{FF2B5EF4-FFF2-40B4-BE49-F238E27FC236}">
              <a16:creationId xmlns:a16="http://schemas.microsoft.com/office/drawing/2014/main" id="{C8A557B8-4BC6-451D-906C-968370B24F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454" name="AutoShape 4">
          <a:extLst>
            <a:ext uri="{FF2B5EF4-FFF2-40B4-BE49-F238E27FC236}">
              <a16:creationId xmlns:a16="http://schemas.microsoft.com/office/drawing/2014/main" id="{65E8FA7A-6D95-48ED-927C-E460F40519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455" name="AutoShape 4">
          <a:extLst>
            <a:ext uri="{FF2B5EF4-FFF2-40B4-BE49-F238E27FC236}">
              <a16:creationId xmlns:a16="http://schemas.microsoft.com/office/drawing/2014/main" id="{E0E76A13-EE28-4EFF-8878-D80D1F2C42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0</xdr:rowOff>
    </xdr:to>
    <xdr:sp macro="" textlink="">
      <xdr:nvSpPr>
        <xdr:cNvPr id="456" name="AutoShape 4">
          <a:extLst>
            <a:ext uri="{FF2B5EF4-FFF2-40B4-BE49-F238E27FC236}">
              <a16:creationId xmlns:a16="http://schemas.microsoft.com/office/drawing/2014/main" id="{5B19FD8C-47C2-4F5E-80EE-D34C29689D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8959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57" name="AutoShape 4">
          <a:extLst>
            <a:ext uri="{FF2B5EF4-FFF2-40B4-BE49-F238E27FC236}">
              <a16:creationId xmlns:a16="http://schemas.microsoft.com/office/drawing/2014/main" id="{3C20362A-9B02-421B-B479-8CCCA70FC4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AB2B3C60-D88F-4EC8-9C5B-BA37CD243B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59" name="AutoShape 4">
          <a:extLst>
            <a:ext uri="{FF2B5EF4-FFF2-40B4-BE49-F238E27FC236}">
              <a16:creationId xmlns:a16="http://schemas.microsoft.com/office/drawing/2014/main" id="{A20F4666-BEF4-4C3F-9D89-7BDC889A6B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60" name="AutoShape 4">
          <a:extLst>
            <a:ext uri="{FF2B5EF4-FFF2-40B4-BE49-F238E27FC236}">
              <a16:creationId xmlns:a16="http://schemas.microsoft.com/office/drawing/2014/main" id="{F2888530-8E3E-49F3-B08E-C0E4F6DC8D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61" name="AutoShape 4">
          <a:extLst>
            <a:ext uri="{FF2B5EF4-FFF2-40B4-BE49-F238E27FC236}">
              <a16:creationId xmlns:a16="http://schemas.microsoft.com/office/drawing/2014/main" id="{7474323D-8739-490C-8C8D-8494969984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62" name="AutoShape 4">
          <a:extLst>
            <a:ext uri="{FF2B5EF4-FFF2-40B4-BE49-F238E27FC236}">
              <a16:creationId xmlns:a16="http://schemas.microsoft.com/office/drawing/2014/main" id="{054AF0CC-1687-4D7E-AFBA-FA4770E2CE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463" name="AutoShape 4">
          <a:extLst>
            <a:ext uri="{FF2B5EF4-FFF2-40B4-BE49-F238E27FC236}">
              <a16:creationId xmlns:a16="http://schemas.microsoft.com/office/drawing/2014/main" id="{5A1E52D7-7699-447B-86AF-67E7216C38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22</xdr:row>
      <xdr:rowOff>57150</xdr:rowOff>
    </xdr:to>
    <xdr:sp macro="" textlink="">
      <xdr:nvSpPr>
        <xdr:cNvPr id="464" name="AutoShape 4">
          <a:extLst>
            <a:ext uri="{FF2B5EF4-FFF2-40B4-BE49-F238E27FC236}">
              <a16:creationId xmlns:a16="http://schemas.microsoft.com/office/drawing/2014/main" id="{447B56CF-C634-428E-B491-C06639EB90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953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22</xdr:row>
      <xdr:rowOff>57150</xdr:rowOff>
    </xdr:to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F28B4AA8-078D-4769-84F9-D5B5ACDF76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953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22</xdr:row>
      <xdr:rowOff>57150</xdr:rowOff>
    </xdr:to>
    <xdr:sp macro="" textlink="">
      <xdr:nvSpPr>
        <xdr:cNvPr id="466" name="AutoShape 4">
          <a:extLst>
            <a:ext uri="{FF2B5EF4-FFF2-40B4-BE49-F238E27FC236}">
              <a16:creationId xmlns:a16="http://schemas.microsoft.com/office/drawing/2014/main" id="{9B058370-B502-4FAA-8F7D-2804D5E7A7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953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22</xdr:row>
      <xdr:rowOff>57150</xdr:rowOff>
    </xdr:to>
    <xdr:sp macro="" textlink="">
      <xdr:nvSpPr>
        <xdr:cNvPr id="467" name="AutoShape 4">
          <a:extLst>
            <a:ext uri="{FF2B5EF4-FFF2-40B4-BE49-F238E27FC236}">
              <a16:creationId xmlns:a16="http://schemas.microsoft.com/office/drawing/2014/main" id="{98951BD8-C2F8-4597-A2DF-5265DB684E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953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468" name="AutoShape 4">
          <a:extLst>
            <a:ext uri="{FF2B5EF4-FFF2-40B4-BE49-F238E27FC236}">
              <a16:creationId xmlns:a16="http://schemas.microsoft.com/office/drawing/2014/main" id="{7690AD51-985C-4EF2-9266-656C333314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469" name="AutoShape 4">
          <a:extLst>
            <a:ext uri="{FF2B5EF4-FFF2-40B4-BE49-F238E27FC236}">
              <a16:creationId xmlns:a16="http://schemas.microsoft.com/office/drawing/2014/main" id="{7E26E4C5-B2AC-4285-9B7C-3AE3AFF0D3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470" name="AutoShape 4">
          <a:extLst>
            <a:ext uri="{FF2B5EF4-FFF2-40B4-BE49-F238E27FC236}">
              <a16:creationId xmlns:a16="http://schemas.microsoft.com/office/drawing/2014/main" id="{4F8D0520-FA80-4C85-A5F7-442D857550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471" name="AutoShape 4">
          <a:extLst>
            <a:ext uri="{FF2B5EF4-FFF2-40B4-BE49-F238E27FC236}">
              <a16:creationId xmlns:a16="http://schemas.microsoft.com/office/drawing/2014/main" id="{2C350B7F-D672-41CD-B50B-7E87F8B5EC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284E5FBF-2556-46AF-9BFF-F0BD16682A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473" name="AutoShape 4">
          <a:extLst>
            <a:ext uri="{FF2B5EF4-FFF2-40B4-BE49-F238E27FC236}">
              <a16:creationId xmlns:a16="http://schemas.microsoft.com/office/drawing/2014/main" id="{25DFAD4F-CF20-490E-8AFB-BD057237AE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474" name="AutoShape 4">
          <a:extLst>
            <a:ext uri="{FF2B5EF4-FFF2-40B4-BE49-F238E27FC236}">
              <a16:creationId xmlns:a16="http://schemas.microsoft.com/office/drawing/2014/main" id="{5CC10FA1-37C8-4F61-8348-A3325C1FAD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475" name="AutoShape 4">
          <a:extLst>
            <a:ext uri="{FF2B5EF4-FFF2-40B4-BE49-F238E27FC236}">
              <a16:creationId xmlns:a16="http://schemas.microsoft.com/office/drawing/2014/main" id="{3B861852-2788-4202-BD0C-94C736B2C1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476" name="AutoShape 4">
          <a:extLst>
            <a:ext uri="{FF2B5EF4-FFF2-40B4-BE49-F238E27FC236}">
              <a16:creationId xmlns:a16="http://schemas.microsoft.com/office/drawing/2014/main" id="{D644E48F-97FC-4971-85D9-18399922A6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477" name="AutoShape 4">
          <a:extLst>
            <a:ext uri="{FF2B5EF4-FFF2-40B4-BE49-F238E27FC236}">
              <a16:creationId xmlns:a16="http://schemas.microsoft.com/office/drawing/2014/main" id="{532D08C3-0529-45B7-AFCE-6080FD75DC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478" name="AutoShape 4">
          <a:extLst>
            <a:ext uri="{FF2B5EF4-FFF2-40B4-BE49-F238E27FC236}">
              <a16:creationId xmlns:a16="http://schemas.microsoft.com/office/drawing/2014/main" id="{3970408E-1871-4C67-B22F-E8300F135A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42EC3CEB-1899-440B-BB05-8060711054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480" name="AutoShape 4">
          <a:extLst>
            <a:ext uri="{FF2B5EF4-FFF2-40B4-BE49-F238E27FC236}">
              <a16:creationId xmlns:a16="http://schemas.microsoft.com/office/drawing/2014/main" id="{77F5456A-AB76-4BE6-9D7A-1B68E5FD90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481" name="AutoShape 4">
          <a:extLst>
            <a:ext uri="{FF2B5EF4-FFF2-40B4-BE49-F238E27FC236}">
              <a16:creationId xmlns:a16="http://schemas.microsoft.com/office/drawing/2014/main" id="{F1DA9B9B-FB4E-406C-98D4-DE5E357FBA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482" name="AutoShape 4">
          <a:extLst>
            <a:ext uri="{FF2B5EF4-FFF2-40B4-BE49-F238E27FC236}">
              <a16:creationId xmlns:a16="http://schemas.microsoft.com/office/drawing/2014/main" id="{F557BEA0-6873-4248-AFED-2BCD8219807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483" name="AutoShape 4">
          <a:extLst>
            <a:ext uri="{FF2B5EF4-FFF2-40B4-BE49-F238E27FC236}">
              <a16:creationId xmlns:a16="http://schemas.microsoft.com/office/drawing/2014/main" id="{1868211B-1D26-48FA-B4C4-6B9217F1DD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484" name="AutoShape 4">
          <a:extLst>
            <a:ext uri="{FF2B5EF4-FFF2-40B4-BE49-F238E27FC236}">
              <a16:creationId xmlns:a16="http://schemas.microsoft.com/office/drawing/2014/main" id="{54C609F2-5FB4-4D3A-A69B-D55D4B45E7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22</xdr:row>
      <xdr:rowOff>57150</xdr:rowOff>
    </xdr:to>
    <xdr:sp macro="" textlink="">
      <xdr:nvSpPr>
        <xdr:cNvPr id="485" name="AutoShape 4">
          <a:extLst>
            <a:ext uri="{FF2B5EF4-FFF2-40B4-BE49-F238E27FC236}">
              <a16:creationId xmlns:a16="http://schemas.microsoft.com/office/drawing/2014/main" id="{10B52209-94E4-4ABF-A95B-97440CE5DA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953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22</xdr:row>
      <xdr:rowOff>57150</xdr:rowOff>
    </xdr:to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CCA3C6D7-F8DF-482E-85EE-039635B12B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953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22</xdr:row>
      <xdr:rowOff>57150</xdr:rowOff>
    </xdr:to>
    <xdr:sp macro="" textlink="">
      <xdr:nvSpPr>
        <xdr:cNvPr id="487" name="AutoShape 4">
          <a:extLst>
            <a:ext uri="{FF2B5EF4-FFF2-40B4-BE49-F238E27FC236}">
              <a16:creationId xmlns:a16="http://schemas.microsoft.com/office/drawing/2014/main" id="{E5F5FECB-3F09-41E2-8DED-4E194D62CE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953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22</xdr:row>
      <xdr:rowOff>57150</xdr:rowOff>
    </xdr:to>
    <xdr:sp macro="" textlink="">
      <xdr:nvSpPr>
        <xdr:cNvPr id="488" name="AutoShape 4">
          <a:extLst>
            <a:ext uri="{FF2B5EF4-FFF2-40B4-BE49-F238E27FC236}">
              <a16:creationId xmlns:a16="http://schemas.microsoft.com/office/drawing/2014/main" id="{D456DA36-9CEA-46CE-BA87-595FE590357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953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40047684-66B5-4CAF-9B5F-DDD36BC3F57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490" name="AutoShape 4">
          <a:extLst>
            <a:ext uri="{FF2B5EF4-FFF2-40B4-BE49-F238E27FC236}">
              <a16:creationId xmlns:a16="http://schemas.microsoft.com/office/drawing/2014/main" id="{E0234C63-F335-4D3E-800D-D2EF7226EF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491" name="AutoShape 4">
          <a:extLst>
            <a:ext uri="{FF2B5EF4-FFF2-40B4-BE49-F238E27FC236}">
              <a16:creationId xmlns:a16="http://schemas.microsoft.com/office/drawing/2014/main" id="{74A24F13-938F-4B52-856A-AA8C0CB36B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492" name="AutoShape 4">
          <a:extLst>
            <a:ext uri="{FF2B5EF4-FFF2-40B4-BE49-F238E27FC236}">
              <a16:creationId xmlns:a16="http://schemas.microsoft.com/office/drawing/2014/main" id="{5D577367-7127-437D-A17B-11A5D7B1B0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493" name="AutoShape 4">
          <a:extLst>
            <a:ext uri="{FF2B5EF4-FFF2-40B4-BE49-F238E27FC236}">
              <a16:creationId xmlns:a16="http://schemas.microsoft.com/office/drawing/2014/main" id="{A2B5D71A-4BD9-465C-A197-7336621FB3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494" name="AutoShape 4">
          <a:extLst>
            <a:ext uri="{FF2B5EF4-FFF2-40B4-BE49-F238E27FC236}">
              <a16:creationId xmlns:a16="http://schemas.microsoft.com/office/drawing/2014/main" id="{55A26880-78AA-4051-A565-51837A0E90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495" name="AutoShape 4">
          <a:extLst>
            <a:ext uri="{FF2B5EF4-FFF2-40B4-BE49-F238E27FC236}">
              <a16:creationId xmlns:a16="http://schemas.microsoft.com/office/drawing/2014/main" id="{05465B15-8733-4BD4-86C8-7DFCA3B244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496" name="AutoShape 4">
          <a:extLst>
            <a:ext uri="{FF2B5EF4-FFF2-40B4-BE49-F238E27FC236}">
              <a16:creationId xmlns:a16="http://schemas.microsoft.com/office/drawing/2014/main" id="{0B14B905-A15B-468E-B558-A16E0A2D91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3FD39F72-1FBF-46D9-81B6-CABDDF5E68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498" name="AutoShape 4">
          <a:extLst>
            <a:ext uri="{FF2B5EF4-FFF2-40B4-BE49-F238E27FC236}">
              <a16:creationId xmlns:a16="http://schemas.microsoft.com/office/drawing/2014/main" id="{0C511F5A-C614-4204-8E6E-C4EE59CC44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499" name="AutoShape 4">
          <a:extLst>
            <a:ext uri="{FF2B5EF4-FFF2-40B4-BE49-F238E27FC236}">
              <a16:creationId xmlns:a16="http://schemas.microsoft.com/office/drawing/2014/main" id="{75701339-0E92-4891-99EC-8E63D04155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3A12F94F-2397-4743-82C9-039DAE154F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01" name="AutoShape 4">
          <a:extLst>
            <a:ext uri="{FF2B5EF4-FFF2-40B4-BE49-F238E27FC236}">
              <a16:creationId xmlns:a16="http://schemas.microsoft.com/office/drawing/2014/main" id="{AEFF81EC-E1A1-48C2-8681-3C1A24A096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02" name="AutoShape 4">
          <a:extLst>
            <a:ext uri="{FF2B5EF4-FFF2-40B4-BE49-F238E27FC236}">
              <a16:creationId xmlns:a16="http://schemas.microsoft.com/office/drawing/2014/main" id="{DC2BE733-18F0-43E9-B04A-ECC48A0893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527FA25C-7D7D-40A9-8BA9-A3429D6F0A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04" name="AutoShape 4">
          <a:extLst>
            <a:ext uri="{FF2B5EF4-FFF2-40B4-BE49-F238E27FC236}">
              <a16:creationId xmlns:a16="http://schemas.microsoft.com/office/drawing/2014/main" id="{E7A3C46E-1BAF-4E21-96C6-530FF0F3A3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05" name="AutoShape 4">
          <a:extLst>
            <a:ext uri="{FF2B5EF4-FFF2-40B4-BE49-F238E27FC236}">
              <a16:creationId xmlns:a16="http://schemas.microsoft.com/office/drawing/2014/main" id="{806FFE67-B910-4D75-A851-CBACEA9374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06" name="AutoShape 4">
          <a:extLst>
            <a:ext uri="{FF2B5EF4-FFF2-40B4-BE49-F238E27FC236}">
              <a16:creationId xmlns:a16="http://schemas.microsoft.com/office/drawing/2014/main" id="{D0890389-57CD-420C-BD3D-8A9ECC05EA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07" name="AutoShape 4">
          <a:extLst>
            <a:ext uri="{FF2B5EF4-FFF2-40B4-BE49-F238E27FC236}">
              <a16:creationId xmlns:a16="http://schemas.microsoft.com/office/drawing/2014/main" id="{CB7F70FD-9156-4922-AC9A-FF48FBBB27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08" name="AutoShape 4">
          <a:extLst>
            <a:ext uri="{FF2B5EF4-FFF2-40B4-BE49-F238E27FC236}">
              <a16:creationId xmlns:a16="http://schemas.microsoft.com/office/drawing/2014/main" id="{A0A94FDA-163B-4E11-A7A5-7EDAFB7771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09" name="AutoShape 4">
          <a:extLst>
            <a:ext uri="{FF2B5EF4-FFF2-40B4-BE49-F238E27FC236}">
              <a16:creationId xmlns:a16="http://schemas.microsoft.com/office/drawing/2014/main" id="{D9E8F262-1466-48B2-82C5-FBF9916550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B27CF3A3-072E-46B3-B744-9FA2A642A1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11" name="AutoShape 4">
          <a:extLst>
            <a:ext uri="{FF2B5EF4-FFF2-40B4-BE49-F238E27FC236}">
              <a16:creationId xmlns:a16="http://schemas.microsoft.com/office/drawing/2014/main" id="{346714EE-A936-4C3F-A5DD-DA090445B0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12" name="AutoShape 4">
          <a:extLst>
            <a:ext uri="{FF2B5EF4-FFF2-40B4-BE49-F238E27FC236}">
              <a16:creationId xmlns:a16="http://schemas.microsoft.com/office/drawing/2014/main" id="{1A3FEB57-7938-4564-9963-F390B29E4F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13" name="AutoShape 4">
          <a:extLst>
            <a:ext uri="{FF2B5EF4-FFF2-40B4-BE49-F238E27FC236}">
              <a16:creationId xmlns:a16="http://schemas.microsoft.com/office/drawing/2014/main" id="{86599A4E-5CF3-421A-B5A3-A22EAD19BB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14" name="AutoShape 4">
          <a:extLst>
            <a:ext uri="{FF2B5EF4-FFF2-40B4-BE49-F238E27FC236}">
              <a16:creationId xmlns:a16="http://schemas.microsoft.com/office/drawing/2014/main" id="{F595A301-4A78-4684-ADCA-38FB9FD616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15" name="AutoShape 4">
          <a:extLst>
            <a:ext uri="{FF2B5EF4-FFF2-40B4-BE49-F238E27FC236}">
              <a16:creationId xmlns:a16="http://schemas.microsoft.com/office/drawing/2014/main" id="{A5978D5A-E510-47A1-B289-7ED9EC3D43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0</xdr:rowOff>
    </xdr:to>
    <xdr:sp macro="" textlink="">
      <xdr:nvSpPr>
        <xdr:cNvPr id="516" name="AutoShape 4">
          <a:extLst>
            <a:ext uri="{FF2B5EF4-FFF2-40B4-BE49-F238E27FC236}">
              <a16:creationId xmlns:a16="http://schemas.microsoft.com/office/drawing/2014/main" id="{527F5ACF-2137-4E37-A196-F726CCB350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153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0</xdr:rowOff>
    </xdr:to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E3CFDF34-FD31-4523-A6B4-A7B29409F4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153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0</xdr:rowOff>
    </xdr:to>
    <xdr:sp macro="" textlink="">
      <xdr:nvSpPr>
        <xdr:cNvPr id="518" name="AutoShape 4">
          <a:extLst>
            <a:ext uri="{FF2B5EF4-FFF2-40B4-BE49-F238E27FC236}">
              <a16:creationId xmlns:a16="http://schemas.microsoft.com/office/drawing/2014/main" id="{A3150AF4-59C8-4791-BD79-9A015BFBB9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153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0</xdr:rowOff>
    </xdr:to>
    <xdr:sp macro="" textlink="">
      <xdr:nvSpPr>
        <xdr:cNvPr id="519" name="AutoShape 4">
          <a:extLst>
            <a:ext uri="{FF2B5EF4-FFF2-40B4-BE49-F238E27FC236}">
              <a16:creationId xmlns:a16="http://schemas.microsoft.com/office/drawing/2014/main" id="{90AC3718-AC07-41DA-8B82-B0BC2105E8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153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520" name="AutoShape 4">
          <a:extLst>
            <a:ext uri="{FF2B5EF4-FFF2-40B4-BE49-F238E27FC236}">
              <a16:creationId xmlns:a16="http://schemas.microsoft.com/office/drawing/2014/main" id="{1FB27E2F-D79C-4C94-BBE2-84D937F1CE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521" name="AutoShape 4">
          <a:extLst>
            <a:ext uri="{FF2B5EF4-FFF2-40B4-BE49-F238E27FC236}">
              <a16:creationId xmlns:a16="http://schemas.microsoft.com/office/drawing/2014/main" id="{60351810-D90B-4B68-A841-ACB375E1A2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522" name="AutoShape 4">
          <a:extLst>
            <a:ext uri="{FF2B5EF4-FFF2-40B4-BE49-F238E27FC236}">
              <a16:creationId xmlns:a16="http://schemas.microsoft.com/office/drawing/2014/main" id="{C19722E8-8873-4351-A62F-1CB392E07F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523" name="AutoShape 4">
          <a:extLst>
            <a:ext uri="{FF2B5EF4-FFF2-40B4-BE49-F238E27FC236}">
              <a16:creationId xmlns:a16="http://schemas.microsoft.com/office/drawing/2014/main" id="{F957950A-8B97-4BE3-9650-17A1B9FE65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5C1B21-FCB6-4A13-9409-1333997B22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525" name="AutoShape 4">
          <a:extLst>
            <a:ext uri="{FF2B5EF4-FFF2-40B4-BE49-F238E27FC236}">
              <a16:creationId xmlns:a16="http://schemas.microsoft.com/office/drawing/2014/main" id="{8F07EEA8-600B-41C0-83BB-89851E37CC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526" name="AutoShape 4">
          <a:extLst>
            <a:ext uri="{FF2B5EF4-FFF2-40B4-BE49-F238E27FC236}">
              <a16:creationId xmlns:a16="http://schemas.microsoft.com/office/drawing/2014/main" id="{1B3A8536-F2A5-4F2A-9435-BBDBDE6BB79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27" name="AutoShape 4">
          <a:extLst>
            <a:ext uri="{FF2B5EF4-FFF2-40B4-BE49-F238E27FC236}">
              <a16:creationId xmlns:a16="http://schemas.microsoft.com/office/drawing/2014/main" id="{038892A4-21E4-4F2A-8B54-C04E5F4A4D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472E6532-EA3F-409F-9124-24305AB480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29" name="AutoShape 4">
          <a:extLst>
            <a:ext uri="{FF2B5EF4-FFF2-40B4-BE49-F238E27FC236}">
              <a16:creationId xmlns:a16="http://schemas.microsoft.com/office/drawing/2014/main" id="{5C883268-6934-4E0B-94F8-435D4F3A9B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30" name="AutoShape 4">
          <a:extLst>
            <a:ext uri="{FF2B5EF4-FFF2-40B4-BE49-F238E27FC236}">
              <a16:creationId xmlns:a16="http://schemas.microsoft.com/office/drawing/2014/main" id="{CEEAD4A0-6B96-4A76-A735-A97E7E60D6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31" name="AutoShape 4">
          <a:extLst>
            <a:ext uri="{FF2B5EF4-FFF2-40B4-BE49-F238E27FC236}">
              <a16:creationId xmlns:a16="http://schemas.microsoft.com/office/drawing/2014/main" id="{D0F3A7F2-6DE8-410B-88A4-8F31629DD9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32" name="AutoShape 4">
          <a:extLst>
            <a:ext uri="{FF2B5EF4-FFF2-40B4-BE49-F238E27FC236}">
              <a16:creationId xmlns:a16="http://schemas.microsoft.com/office/drawing/2014/main" id="{A90298E5-B576-4464-A586-4CC0765059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33" name="AutoShape 4">
          <a:extLst>
            <a:ext uri="{FF2B5EF4-FFF2-40B4-BE49-F238E27FC236}">
              <a16:creationId xmlns:a16="http://schemas.microsoft.com/office/drawing/2014/main" id="{3B45BF55-8289-46C4-B820-EDEC60CD19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34" name="AutoShape 4">
          <a:extLst>
            <a:ext uri="{FF2B5EF4-FFF2-40B4-BE49-F238E27FC236}">
              <a16:creationId xmlns:a16="http://schemas.microsoft.com/office/drawing/2014/main" id="{5F971569-DCB4-4946-9106-01E0D5FBE7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B8813DF9-0D92-4FCA-A6E9-0D8C351686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36" name="AutoShape 4">
          <a:extLst>
            <a:ext uri="{FF2B5EF4-FFF2-40B4-BE49-F238E27FC236}">
              <a16:creationId xmlns:a16="http://schemas.microsoft.com/office/drawing/2014/main" id="{055B4BCF-C4BC-48BD-9362-C0820600AE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0</xdr:rowOff>
    </xdr:to>
    <xdr:sp macro="" textlink="">
      <xdr:nvSpPr>
        <xdr:cNvPr id="537" name="AutoShape 4">
          <a:extLst>
            <a:ext uri="{FF2B5EF4-FFF2-40B4-BE49-F238E27FC236}">
              <a16:creationId xmlns:a16="http://schemas.microsoft.com/office/drawing/2014/main" id="{79DDFF3D-219C-4772-9C49-C223B6596D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153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0</xdr:rowOff>
    </xdr:to>
    <xdr:sp macro="" textlink="">
      <xdr:nvSpPr>
        <xdr:cNvPr id="538" name="AutoShape 4">
          <a:extLst>
            <a:ext uri="{FF2B5EF4-FFF2-40B4-BE49-F238E27FC236}">
              <a16:creationId xmlns:a16="http://schemas.microsoft.com/office/drawing/2014/main" id="{96A98E62-6281-48B3-AA23-7605ED3CA0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153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0</xdr:rowOff>
    </xdr:to>
    <xdr:sp macro="" textlink="">
      <xdr:nvSpPr>
        <xdr:cNvPr id="539" name="AutoShape 4">
          <a:extLst>
            <a:ext uri="{FF2B5EF4-FFF2-40B4-BE49-F238E27FC236}">
              <a16:creationId xmlns:a16="http://schemas.microsoft.com/office/drawing/2014/main" id="{2481AA05-0F9A-42BF-B770-673B6A19A4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153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0</xdr:rowOff>
    </xdr:to>
    <xdr:sp macro="" textlink="">
      <xdr:nvSpPr>
        <xdr:cNvPr id="540" name="AutoShape 4">
          <a:extLst>
            <a:ext uri="{FF2B5EF4-FFF2-40B4-BE49-F238E27FC236}">
              <a16:creationId xmlns:a16="http://schemas.microsoft.com/office/drawing/2014/main" id="{9AEE0D60-16FE-4E4B-8158-72FF6B6D6E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153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541" name="AutoShape 4">
          <a:extLst>
            <a:ext uri="{FF2B5EF4-FFF2-40B4-BE49-F238E27FC236}">
              <a16:creationId xmlns:a16="http://schemas.microsoft.com/office/drawing/2014/main" id="{677E8E25-2B4D-4508-A32D-906478A719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542" name="AutoShape 4">
          <a:extLst>
            <a:ext uri="{FF2B5EF4-FFF2-40B4-BE49-F238E27FC236}">
              <a16:creationId xmlns:a16="http://schemas.microsoft.com/office/drawing/2014/main" id="{8D760ADB-D196-4D27-AC48-446A1B2C07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543" name="AutoShape 4">
          <a:extLst>
            <a:ext uri="{FF2B5EF4-FFF2-40B4-BE49-F238E27FC236}">
              <a16:creationId xmlns:a16="http://schemas.microsoft.com/office/drawing/2014/main" id="{3AABCCCC-85D5-42E9-BA3B-00E3C5B810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544" name="AutoShape 4">
          <a:extLst>
            <a:ext uri="{FF2B5EF4-FFF2-40B4-BE49-F238E27FC236}">
              <a16:creationId xmlns:a16="http://schemas.microsoft.com/office/drawing/2014/main" id="{98D03DEC-1CA8-425B-8EE2-A6B185163A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545" name="AutoShape 4">
          <a:extLst>
            <a:ext uri="{FF2B5EF4-FFF2-40B4-BE49-F238E27FC236}">
              <a16:creationId xmlns:a16="http://schemas.microsoft.com/office/drawing/2014/main" id="{782F176C-AF0F-41B6-A13C-CD79C4F99C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546" name="AutoShape 4">
          <a:extLst>
            <a:ext uri="{FF2B5EF4-FFF2-40B4-BE49-F238E27FC236}">
              <a16:creationId xmlns:a16="http://schemas.microsoft.com/office/drawing/2014/main" id="{BBDDB4E1-97D3-4094-9A09-152722E722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22</xdr:row>
      <xdr:rowOff>47625</xdr:rowOff>
    </xdr:to>
    <xdr:sp macro="" textlink="">
      <xdr:nvSpPr>
        <xdr:cNvPr id="547" name="AutoShape 4">
          <a:extLst>
            <a:ext uri="{FF2B5EF4-FFF2-40B4-BE49-F238E27FC236}">
              <a16:creationId xmlns:a16="http://schemas.microsoft.com/office/drawing/2014/main" id="{38C90AC2-D75D-4CB8-989C-4877410C4C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94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B7DAD206-80B3-4231-8C81-66D6A1097B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49" name="AutoShape 4">
          <a:extLst>
            <a:ext uri="{FF2B5EF4-FFF2-40B4-BE49-F238E27FC236}">
              <a16:creationId xmlns:a16="http://schemas.microsoft.com/office/drawing/2014/main" id="{D8B75F7B-325B-4386-AC73-7DA161FBDC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50" name="AutoShape 4">
          <a:extLst>
            <a:ext uri="{FF2B5EF4-FFF2-40B4-BE49-F238E27FC236}">
              <a16:creationId xmlns:a16="http://schemas.microsoft.com/office/drawing/2014/main" id="{2BF2D89E-4F7A-4909-8E9F-CD119A9D33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9F2241A9-E3DF-4F1A-9F25-AD5FD2B6B4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52" name="AutoShape 4">
          <a:extLst>
            <a:ext uri="{FF2B5EF4-FFF2-40B4-BE49-F238E27FC236}">
              <a16:creationId xmlns:a16="http://schemas.microsoft.com/office/drawing/2014/main" id="{62EEA8E0-5D15-46CF-84C2-51877584DD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53" name="AutoShape 4">
          <a:extLst>
            <a:ext uri="{FF2B5EF4-FFF2-40B4-BE49-F238E27FC236}">
              <a16:creationId xmlns:a16="http://schemas.microsoft.com/office/drawing/2014/main" id="{F46A283E-EE7F-4EDA-BA3C-0AB791D822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34904799-440E-4DD7-B8C6-A2E1FE6164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55" name="AutoShape 4">
          <a:extLst>
            <a:ext uri="{FF2B5EF4-FFF2-40B4-BE49-F238E27FC236}">
              <a16:creationId xmlns:a16="http://schemas.microsoft.com/office/drawing/2014/main" id="{0B818780-D03B-4A9F-A10A-D159710A49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56" name="AutoShape 4">
          <a:extLst>
            <a:ext uri="{FF2B5EF4-FFF2-40B4-BE49-F238E27FC236}">
              <a16:creationId xmlns:a16="http://schemas.microsoft.com/office/drawing/2014/main" id="{AFF899F1-8EB5-4BD3-94B1-DA3A6521E5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A8B1A5A4-156E-4BF1-BF0B-493FF356BA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558" name="AutoShape 4">
          <a:extLst>
            <a:ext uri="{FF2B5EF4-FFF2-40B4-BE49-F238E27FC236}">
              <a16:creationId xmlns:a16="http://schemas.microsoft.com/office/drawing/2014/main" id="{760964BC-C097-495D-B7F5-233EDDF6B2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559" name="AutoShape 4">
          <a:extLst>
            <a:ext uri="{FF2B5EF4-FFF2-40B4-BE49-F238E27FC236}">
              <a16:creationId xmlns:a16="http://schemas.microsoft.com/office/drawing/2014/main" id="{B1FF1083-4C2E-4411-A025-29C573AAA39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560" name="AutoShape 4">
          <a:extLst>
            <a:ext uri="{FF2B5EF4-FFF2-40B4-BE49-F238E27FC236}">
              <a16:creationId xmlns:a16="http://schemas.microsoft.com/office/drawing/2014/main" id="{62B1F108-2A17-4A96-ADE4-647F82CAC2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561" name="AutoShape 4">
          <a:extLst>
            <a:ext uri="{FF2B5EF4-FFF2-40B4-BE49-F238E27FC236}">
              <a16:creationId xmlns:a16="http://schemas.microsoft.com/office/drawing/2014/main" id="{8E098168-36F9-412B-B81B-379D941D6A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62" name="AutoShape 4">
          <a:extLst>
            <a:ext uri="{FF2B5EF4-FFF2-40B4-BE49-F238E27FC236}">
              <a16:creationId xmlns:a16="http://schemas.microsoft.com/office/drawing/2014/main" id="{C33905F6-7FD3-4FA0-B7C9-60E6B33C5F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63" name="AutoShape 4">
          <a:extLst>
            <a:ext uri="{FF2B5EF4-FFF2-40B4-BE49-F238E27FC236}">
              <a16:creationId xmlns:a16="http://schemas.microsoft.com/office/drawing/2014/main" id="{08AC4654-73B7-4E75-BD4B-08E4660C56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7F5EE0C7-874B-4360-BF04-0B21EDCD86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65" name="AutoShape 4">
          <a:extLst>
            <a:ext uri="{FF2B5EF4-FFF2-40B4-BE49-F238E27FC236}">
              <a16:creationId xmlns:a16="http://schemas.microsoft.com/office/drawing/2014/main" id="{02A583F9-97D8-4AB8-9226-6E060C33AA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66" name="AutoShape 4">
          <a:extLst>
            <a:ext uri="{FF2B5EF4-FFF2-40B4-BE49-F238E27FC236}">
              <a16:creationId xmlns:a16="http://schemas.microsoft.com/office/drawing/2014/main" id="{71C8253E-9789-4710-91EB-8958676652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67" name="AutoShape 4">
          <a:extLst>
            <a:ext uri="{FF2B5EF4-FFF2-40B4-BE49-F238E27FC236}">
              <a16:creationId xmlns:a16="http://schemas.microsoft.com/office/drawing/2014/main" id="{B2ED379E-0186-487D-8089-FE7065438C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68" name="AutoShape 4">
          <a:extLst>
            <a:ext uri="{FF2B5EF4-FFF2-40B4-BE49-F238E27FC236}">
              <a16:creationId xmlns:a16="http://schemas.microsoft.com/office/drawing/2014/main" id="{1C4F672B-C59B-41FF-9165-6F33657DF5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69" name="AutoShape 4">
          <a:extLst>
            <a:ext uri="{FF2B5EF4-FFF2-40B4-BE49-F238E27FC236}">
              <a16:creationId xmlns:a16="http://schemas.microsoft.com/office/drawing/2014/main" id="{DD241814-1C0D-426F-AF55-28DFCBA0E4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70" name="AutoShape 4">
          <a:extLst>
            <a:ext uri="{FF2B5EF4-FFF2-40B4-BE49-F238E27FC236}">
              <a16:creationId xmlns:a16="http://schemas.microsoft.com/office/drawing/2014/main" id="{52464CE5-EAFC-4B8F-BA85-3C1E21BB71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3A51FCF0-8EF9-4373-9DAD-1118A22ACF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72" name="AutoShape 4">
          <a:extLst>
            <a:ext uri="{FF2B5EF4-FFF2-40B4-BE49-F238E27FC236}">
              <a16:creationId xmlns:a16="http://schemas.microsoft.com/office/drawing/2014/main" id="{CAF81017-B4A7-4AAA-B3FD-416134E1F9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73" name="AutoShape 4">
          <a:extLst>
            <a:ext uri="{FF2B5EF4-FFF2-40B4-BE49-F238E27FC236}">
              <a16:creationId xmlns:a16="http://schemas.microsoft.com/office/drawing/2014/main" id="{5AF51D96-BEB3-443F-B49F-29A7AFC98B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74" name="AutoShape 4">
          <a:extLst>
            <a:ext uri="{FF2B5EF4-FFF2-40B4-BE49-F238E27FC236}">
              <a16:creationId xmlns:a16="http://schemas.microsoft.com/office/drawing/2014/main" id="{504C8EAB-56F9-4E69-9043-5E4C3A54EE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75" name="AutoShape 4">
          <a:extLst>
            <a:ext uri="{FF2B5EF4-FFF2-40B4-BE49-F238E27FC236}">
              <a16:creationId xmlns:a16="http://schemas.microsoft.com/office/drawing/2014/main" id="{4F15823A-8F69-4F63-99F2-BFA900DC3A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76" name="AutoShape 4">
          <a:extLst>
            <a:ext uri="{FF2B5EF4-FFF2-40B4-BE49-F238E27FC236}">
              <a16:creationId xmlns:a16="http://schemas.microsoft.com/office/drawing/2014/main" id="{97523A40-46E2-47FB-88CB-06A5200ED4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77" name="AutoShape 4">
          <a:extLst>
            <a:ext uri="{FF2B5EF4-FFF2-40B4-BE49-F238E27FC236}">
              <a16:creationId xmlns:a16="http://schemas.microsoft.com/office/drawing/2014/main" id="{ED9E9815-CB3A-4BEC-BF8E-C11F2CBD3E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60396D2D-24A7-4924-AC92-2AC5E0ED31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579" name="AutoShape 4">
          <a:extLst>
            <a:ext uri="{FF2B5EF4-FFF2-40B4-BE49-F238E27FC236}">
              <a16:creationId xmlns:a16="http://schemas.microsoft.com/office/drawing/2014/main" id="{1A0F0705-9BC6-4F78-B951-BB007A52ED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580" name="AutoShape 4">
          <a:extLst>
            <a:ext uri="{FF2B5EF4-FFF2-40B4-BE49-F238E27FC236}">
              <a16:creationId xmlns:a16="http://schemas.microsoft.com/office/drawing/2014/main" id="{61ADB976-BFFB-4948-B6B2-56F84A543D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581" name="AutoShape 4">
          <a:extLst>
            <a:ext uri="{FF2B5EF4-FFF2-40B4-BE49-F238E27FC236}">
              <a16:creationId xmlns:a16="http://schemas.microsoft.com/office/drawing/2014/main" id="{B6DB839B-EB92-4663-93A8-CE41AA0876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7F89E671-DB73-4DC4-BD27-A07358AF45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83" name="AutoShape 4">
          <a:extLst>
            <a:ext uri="{FF2B5EF4-FFF2-40B4-BE49-F238E27FC236}">
              <a16:creationId xmlns:a16="http://schemas.microsoft.com/office/drawing/2014/main" id="{1242BC28-B91D-4FE2-B06E-0B9EEEAB4A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84" name="AutoShape 4">
          <a:extLst>
            <a:ext uri="{FF2B5EF4-FFF2-40B4-BE49-F238E27FC236}">
              <a16:creationId xmlns:a16="http://schemas.microsoft.com/office/drawing/2014/main" id="{C2B3466E-A53D-428A-B094-B480FBBA7D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85" name="AutoShape 4">
          <a:extLst>
            <a:ext uri="{FF2B5EF4-FFF2-40B4-BE49-F238E27FC236}">
              <a16:creationId xmlns:a16="http://schemas.microsoft.com/office/drawing/2014/main" id="{2DE9F18A-F3D4-4545-B456-9EA1CC192D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86" name="AutoShape 4">
          <a:extLst>
            <a:ext uri="{FF2B5EF4-FFF2-40B4-BE49-F238E27FC236}">
              <a16:creationId xmlns:a16="http://schemas.microsoft.com/office/drawing/2014/main" id="{B55818D0-AB48-4B15-B89F-FBDB7FB5C1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87" name="AutoShape 4">
          <a:extLst>
            <a:ext uri="{FF2B5EF4-FFF2-40B4-BE49-F238E27FC236}">
              <a16:creationId xmlns:a16="http://schemas.microsoft.com/office/drawing/2014/main" id="{90D0E51A-13F8-414F-ABAF-DCA8FDF197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88" name="AutoShape 4">
          <a:extLst>
            <a:ext uri="{FF2B5EF4-FFF2-40B4-BE49-F238E27FC236}">
              <a16:creationId xmlns:a16="http://schemas.microsoft.com/office/drawing/2014/main" id="{9697A1D4-9F78-4E07-9A1C-F21FBCD33B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14A0270B-D956-460A-A45C-5AD29E98C8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90" name="AutoShape 4">
          <a:extLst>
            <a:ext uri="{FF2B5EF4-FFF2-40B4-BE49-F238E27FC236}">
              <a16:creationId xmlns:a16="http://schemas.microsoft.com/office/drawing/2014/main" id="{77100027-1473-4FE2-8E31-D358AD94F0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91" name="AutoShape 4">
          <a:extLst>
            <a:ext uri="{FF2B5EF4-FFF2-40B4-BE49-F238E27FC236}">
              <a16:creationId xmlns:a16="http://schemas.microsoft.com/office/drawing/2014/main" id="{7DBE89F4-AFBA-4DB7-8CB7-AC4981A119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92" name="AutoShape 4">
          <a:extLst>
            <a:ext uri="{FF2B5EF4-FFF2-40B4-BE49-F238E27FC236}">
              <a16:creationId xmlns:a16="http://schemas.microsoft.com/office/drawing/2014/main" id="{2E5FD85C-861B-4F37-9467-90152D23C8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593" name="AutoShape 4">
          <a:extLst>
            <a:ext uri="{FF2B5EF4-FFF2-40B4-BE49-F238E27FC236}">
              <a16:creationId xmlns:a16="http://schemas.microsoft.com/office/drawing/2014/main" id="{D06E7BBC-48C9-4456-AB08-ED8F45456E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94" name="AutoShape 4">
          <a:extLst>
            <a:ext uri="{FF2B5EF4-FFF2-40B4-BE49-F238E27FC236}">
              <a16:creationId xmlns:a16="http://schemas.microsoft.com/office/drawing/2014/main" id="{DB06BBD9-3BC6-439F-AFA6-ECF5E18B55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95" name="AutoShape 4">
          <a:extLst>
            <a:ext uri="{FF2B5EF4-FFF2-40B4-BE49-F238E27FC236}">
              <a16:creationId xmlns:a16="http://schemas.microsoft.com/office/drawing/2014/main" id="{472CBA1B-3BED-4D70-8D16-A705C9E0EF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6F888AE3-7407-4C68-8990-40CBAB2783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97" name="AutoShape 4">
          <a:extLst>
            <a:ext uri="{FF2B5EF4-FFF2-40B4-BE49-F238E27FC236}">
              <a16:creationId xmlns:a16="http://schemas.microsoft.com/office/drawing/2014/main" id="{39B88FF9-9D3D-45F8-AA74-D22E6133AF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98" name="AutoShape 4">
          <a:extLst>
            <a:ext uri="{FF2B5EF4-FFF2-40B4-BE49-F238E27FC236}">
              <a16:creationId xmlns:a16="http://schemas.microsoft.com/office/drawing/2014/main" id="{5598543F-DAEF-4639-B781-E6B5165453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599" name="AutoShape 4">
          <a:extLst>
            <a:ext uri="{FF2B5EF4-FFF2-40B4-BE49-F238E27FC236}">
              <a16:creationId xmlns:a16="http://schemas.microsoft.com/office/drawing/2014/main" id="{CF94BE82-ACE7-4875-ACB5-87241E4821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600" name="AutoShape 4">
          <a:extLst>
            <a:ext uri="{FF2B5EF4-FFF2-40B4-BE49-F238E27FC236}">
              <a16:creationId xmlns:a16="http://schemas.microsoft.com/office/drawing/2014/main" id="{F862B6A2-DB39-404F-8AE6-53F4F50953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601" name="AutoShape 4">
          <a:extLst>
            <a:ext uri="{FF2B5EF4-FFF2-40B4-BE49-F238E27FC236}">
              <a16:creationId xmlns:a16="http://schemas.microsoft.com/office/drawing/2014/main" id="{6FF81F61-4160-4425-88A2-6AD32C00E9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602" name="AutoShape 4">
          <a:extLst>
            <a:ext uri="{FF2B5EF4-FFF2-40B4-BE49-F238E27FC236}">
              <a16:creationId xmlns:a16="http://schemas.microsoft.com/office/drawing/2014/main" id="{18352B6D-452F-4D0A-97B6-058A173FF2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8A865722-1714-469D-8415-FB2AFEBFBF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04" name="AutoShape 4">
          <a:extLst>
            <a:ext uri="{FF2B5EF4-FFF2-40B4-BE49-F238E27FC236}">
              <a16:creationId xmlns:a16="http://schemas.microsoft.com/office/drawing/2014/main" id="{E221D0A6-6722-480C-8246-3330BA03FA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05" name="AutoShape 4">
          <a:extLst>
            <a:ext uri="{FF2B5EF4-FFF2-40B4-BE49-F238E27FC236}">
              <a16:creationId xmlns:a16="http://schemas.microsoft.com/office/drawing/2014/main" id="{6BE93051-50C4-423F-BD62-FBEB728782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06" name="AutoShape 4">
          <a:extLst>
            <a:ext uri="{FF2B5EF4-FFF2-40B4-BE49-F238E27FC236}">
              <a16:creationId xmlns:a16="http://schemas.microsoft.com/office/drawing/2014/main" id="{F49492D4-611A-46DD-AB14-5CB01CF17C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07" name="AutoShape 4">
          <a:extLst>
            <a:ext uri="{FF2B5EF4-FFF2-40B4-BE49-F238E27FC236}">
              <a16:creationId xmlns:a16="http://schemas.microsoft.com/office/drawing/2014/main" id="{24F0D6AF-D18E-4A8B-A50B-EEF66ACB74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08" name="AutoShape 4">
          <a:extLst>
            <a:ext uri="{FF2B5EF4-FFF2-40B4-BE49-F238E27FC236}">
              <a16:creationId xmlns:a16="http://schemas.microsoft.com/office/drawing/2014/main" id="{6B77B021-0653-4DCC-A165-71953E63F4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09" name="AutoShape 4">
          <a:extLst>
            <a:ext uri="{FF2B5EF4-FFF2-40B4-BE49-F238E27FC236}">
              <a16:creationId xmlns:a16="http://schemas.microsoft.com/office/drawing/2014/main" id="{EE401660-9409-47D9-8CF5-C23D20635A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16B0E7F8-4864-4471-8A50-C80D7CEEDE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611" name="AutoShape 4">
          <a:extLst>
            <a:ext uri="{FF2B5EF4-FFF2-40B4-BE49-F238E27FC236}">
              <a16:creationId xmlns:a16="http://schemas.microsoft.com/office/drawing/2014/main" id="{74EF4E08-4623-4CD5-A10C-FAD500FF11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612" name="AutoShape 4">
          <a:extLst>
            <a:ext uri="{FF2B5EF4-FFF2-40B4-BE49-F238E27FC236}">
              <a16:creationId xmlns:a16="http://schemas.microsoft.com/office/drawing/2014/main" id="{AE24AFDF-1E86-4272-8A83-7BC18CA160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613" name="AutoShape 4">
          <a:extLst>
            <a:ext uri="{FF2B5EF4-FFF2-40B4-BE49-F238E27FC236}">
              <a16:creationId xmlns:a16="http://schemas.microsoft.com/office/drawing/2014/main" id="{DAF5DC7A-CAAD-402D-8031-3F1E227A1A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614" name="AutoShape 4">
          <a:extLst>
            <a:ext uri="{FF2B5EF4-FFF2-40B4-BE49-F238E27FC236}">
              <a16:creationId xmlns:a16="http://schemas.microsoft.com/office/drawing/2014/main" id="{35D1C248-3A32-49BC-9960-B1541B007E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615" name="AutoShape 4">
          <a:extLst>
            <a:ext uri="{FF2B5EF4-FFF2-40B4-BE49-F238E27FC236}">
              <a16:creationId xmlns:a16="http://schemas.microsoft.com/office/drawing/2014/main" id="{0055506D-E422-4803-910C-B4C9ACABCF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616" name="AutoShape 4">
          <a:extLst>
            <a:ext uri="{FF2B5EF4-FFF2-40B4-BE49-F238E27FC236}">
              <a16:creationId xmlns:a16="http://schemas.microsoft.com/office/drawing/2014/main" id="{A62B57DC-700D-41A1-9DCB-8ABDC1DFB0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4E044C5-43DF-49B9-8D34-E1E8F31F8A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618" name="AutoShape 4">
          <a:extLst>
            <a:ext uri="{FF2B5EF4-FFF2-40B4-BE49-F238E27FC236}">
              <a16:creationId xmlns:a16="http://schemas.microsoft.com/office/drawing/2014/main" id="{A0F2B2B1-75D7-4922-9FAF-F748036182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619" name="AutoShape 4">
          <a:extLst>
            <a:ext uri="{FF2B5EF4-FFF2-40B4-BE49-F238E27FC236}">
              <a16:creationId xmlns:a16="http://schemas.microsoft.com/office/drawing/2014/main" id="{15B30EA5-F648-40D3-9A4B-7DD683BC65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620" name="AutoShape 4">
          <a:extLst>
            <a:ext uri="{FF2B5EF4-FFF2-40B4-BE49-F238E27FC236}">
              <a16:creationId xmlns:a16="http://schemas.microsoft.com/office/drawing/2014/main" id="{E966CE77-1FC6-4A15-80E1-D37AC4494C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621" name="AutoShape 4">
          <a:extLst>
            <a:ext uri="{FF2B5EF4-FFF2-40B4-BE49-F238E27FC236}">
              <a16:creationId xmlns:a16="http://schemas.microsoft.com/office/drawing/2014/main" id="{69136FE3-2032-4EC3-82DA-2A6FD65C7C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622" name="AutoShape 4">
          <a:extLst>
            <a:ext uri="{FF2B5EF4-FFF2-40B4-BE49-F238E27FC236}">
              <a16:creationId xmlns:a16="http://schemas.microsoft.com/office/drawing/2014/main" id="{ABD414D3-3524-45B5-A770-0C8E8397E7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623" name="AutoShape 4">
          <a:extLst>
            <a:ext uri="{FF2B5EF4-FFF2-40B4-BE49-F238E27FC236}">
              <a16:creationId xmlns:a16="http://schemas.microsoft.com/office/drawing/2014/main" id="{66C802CA-7BB0-4B14-9C69-32537AC72E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7160F987-F5AB-4935-9265-4B6CAE2D25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25" name="AutoShape 4">
          <a:extLst>
            <a:ext uri="{FF2B5EF4-FFF2-40B4-BE49-F238E27FC236}">
              <a16:creationId xmlns:a16="http://schemas.microsoft.com/office/drawing/2014/main" id="{B1CD170C-D57E-4198-8D52-E5E8975E35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26" name="AutoShape 4">
          <a:extLst>
            <a:ext uri="{FF2B5EF4-FFF2-40B4-BE49-F238E27FC236}">
              <a16:creationId xmlns:a16="http://schemas.microsoft.com/office/drawing/2014/main" id="{BD669F79-4C4F-414C-85F4-A22F282B87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27" name="AutoShape 4">
          <a:extLst>
            <a:ext uri="{FF2B5EF4-FFF2-40B4-BE49-F238E27FC236}">
              <a16:creationId xmlns:a16="http://schemas.microsoft.com/office/drawing/2014/main" id="{D545B593-99F0-4C25-BD65-0127B6F2C9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28" name="AutoShape 4">
          <a:extLst>
            <a:ext uri="{FF2B5EF4-FFF2-40B4-BE49-F238E27FC236}">
              <a16:creationId xmlns:a16="http://schemas.microsoft.com/office/drawing/2014/main" id="{78DB44CE-0A3F-4191-96BD-B2F1E84E64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29" name="AutoShape 4">
          <a:extLst>
            <a:ext uri="{FF2B5EF4-FFF2-40B4-BE49-F238E27FC236}">
              <a16:creationId xmlns:a16="http://schemas.microsoft.com/office/drawing/2014/main" id="{ABC0618A-8142-4A42-B216-1A3F905A6E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30" name="AutoShape 4">
          <a:extLst>
            <a:ext uri="{FF2B5EF4-FFF2-40B4-BE49-F238E27FC236}">
              <a16:creationId xmlns:a16="http://schemas.microsoft.com/office/drawing/2014/main" id="{C9B0CFAC-556D-4505-A564-F55F6D8B8E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D5AC07EB-3A0F-48ED-9ACB-B0A0AFFE65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32" name="AutoShape 4">
          <a:extLst>
            <a:ext uri="{FF2B5EF4-FFF2-40B4-BE49-F238E27FC236}">
              <a16:creationId xmlns:a16="http://schemas.microsoft.com/office/drawing/2014/main" id="{667ECD9D-A507-458C-B47B-34845E2939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33" name="AutoShape 4">
          <a:extLst>
            <a:ext uri="{FF2B5EF4-FFF2-40B4-BE49-F238E27FC236}">
              <a16:creationId xmlns:a16="http://schemas.microsoft.com/office/drawing/2014/main" id="{A62BB168-D69E-4929-B14E-3B70A4DD94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34" name="AutoShape 4">
          <a:extLst>
            <a:ext uri="{FF2B5EF4-FFF2-40B4-BE49-F238E27FC236}">
              <a16:creationId xmlns:a16="http://schemas.microsoft.com/office/drawing/2014/main" id="{3FE5061A-A8E0-4546-A18C-606970B1E7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35" name="AutoShape 4">
          <a:extLst>
            <a:ext uri="{FF2B5EF4-FFF2-40B4-BE49-F238E27FC236}">
              <a16:creationId xmlns:a16="http://schemas.microsoft.com/office/drawing/2014/main" id="{56A4C267-41F9-42E9-8841-F532A759E5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36" name="AutoShape 4">
          <a:extLst>
            <a:ext uri="{FF2B5EF4-FFF2-40B4-BE49-F238E27FC236}">
              <a16:creationId xmlns:a16="http://schemas.microsoft.com/office/drawing/2014/main" id="{6326C120-E02D-4757-A633-3384CDC766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37" name="AutoShape 4">
          <a:extLst>
            <a:ext uri="{FF2B5EF4-FFF2-40B4-BE49-F238E27FC236}">
              <a16:creationId xmlns:a16="http://schemas.microsoft.com/office/drawing/2014/main" id="{014E2F77-3F06-4AAF-989A-69691A3648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BDBF6EC1-1348-45E1-9DA4-BA5888D3C8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39" name="AutoShape 4">
          <a:extLst>
            <a:ext uri="{FF2B5EF4-FFF2-40B4-BE49-F238E27FC236}">
              <a16:creationId xmlns:a16="http://schemas.microsoft.com/office/drawing/2014/main" id="{BD834B95-44D1-48A6-ADA8-CA379A239B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40" name="AutoShape 4">
          <a:extLst>
            <a:ext uri="{FF2B5EF4-FFF2-40B4-BE49-F238E27FC236}">
              <a16:creationId xmlns:a16="http://schemas.microsoft.com/office/drawing/2014/main" id="{2835552E-7ECC-4D97-9B04-4E7FDFB547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41" name="AutoShape 4">
          <a:extLst>
            <a:ext uri="{FF2B5EF4-FFF2-40B4-BE49-F238E27FC236}">
              <a16:creationId xmlns:a16="http://schemas.microsoft.com/office/drawing/2014/main" id="{EF576751-84B7-4AC3-AD1C-F7DC51A7A6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42" name="AutoShape 4">
          <a:extLst>
            <a:ext uri="{FF2B5EF4-FFF2-40B4-BE49-F238E27FC236}">
              <a16:creationId xmlns:a16="http://schemas.microsoft.com/office/drawing/2014/main" id="{96C5EA26-BA65-4004-B07C-B82BC2BBCD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43" name="AutoShape 4">
          <a:extLst>
            <a:ext uri="{FF2B5EF4-FFF2-40B4-BE49-F238E27FC236}">
              <a16:creationId xmlns:a16="http://schemas.microsoft.com/office/drawing/2014/main" id="{D8958F25-9086-4248-B319-A71A98553C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44" name="AutoShape 4">
          <a:extLst>
            <a:ext uri="{FF2B5EF4-FFF2-40B4-BE49-F238E27FC236}">
              <a16:creationId xmlns:a16="http://schemas.microsoft.com/office/drawing/2014/main" id="{E07BCA21-32A0-4AEE-A2E3-1E871CB52D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ED75EAC-F28F-45B3-988C-35B1476418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646" name="AutoShape 4">
          <a:extLst>
            <a:ext uri="{FF2B5EF4-FFF2-40B4-BE49-F238E27FC236}">
              <a16:creationId xmlns:a16="http://schemas.microsoft.com/office/drawing/2014/main" id="{AD2886AB-DCF5-401F-B88E-925BF045F5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647" name="AutoShape 4">
          <a:extLst>
            <a:ext uri="{FF2B5EF4-FFF2-40B4-BE49-F238E27FC236}">
              <a16:creationId xmlns:a16="http://schemas.microsoft.com/office/drawing/2014/main" id="{BA0D319E-2352-4D82-9F19-690E3849B79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648" name="AutoShape 4">
          <a:extLst>
            <a:ext uri="{FF2B5EF4-FFF2-40B4-BE49-F238E27FC236}">
              <a16:creationId xmlns:a16="http://schemas.microsoft.com/office/drawing/2014/main" id="{32B27144-F485-4889-88B2-25C4F29298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649" name="AutoShape 4">
          <a:extLst>
            <a:ext uri="{FF2B5EF4-FFF2-40B4-BE49-F238E27FC236}">
              <a16:creationId xmlns:a16="http://schemas.microsoft.com/office/drawing/2014/main" id="{0BB35E2D-6C2B-497A-971B-76F5867853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650" name="AutoShape 4">
          <a:extLst>
            <a:ext uri="{FF2B5EF4-FFF2-40B4-BE49-F238E27FC236}">
              <a16:creationId xmlns:a16="http://schemas.microsoft.com/office/drawing/2014/main" id="{FBAFFF3F-D898-4F04-AA1E-523A10C9D9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651" name="AutoShape 4">
          <a:extLst>
            <a:ext uri="{FF2B5EF4-FFF2-40B4-BE49-F238E27FC236}">
              <a16:creationId xmlns:a16="http://schemas.microsoft.com/office/drawing/2014/main" id="{1D1F02F8-598D-4034-8FED-350CD2B157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A92E06A6-AA43-4E55-AD52-AD2D225575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53" name="AutoShape 4">
          <a:extLst>
            <a:ext uri="{FF2B5EF4-FFF2-40B4-BE49-F238E27FC236}">
              <a16:creationId xmlns:a16="http://schemas.microsoft.com/office/drawing/2014/main" id="{4CAAA556-D442-4613-9DAC-9B935D608F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54" name="AutoShape 4">
          <a:extLst>
            <a:ext uri="{FF2B5EF4-FFF2-40B4-BE49-F238E27FC236}">
              <a16:creationId xmlns:a16="http://schemas.microsoft.com/office/drawing/2014/main" id="{ECB45AF9-B261-4AD0-9D01-9B9D0A765E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55" name="AutoShape 4">
          <a:extLst>
            <a:ext uri="{FF2B5EF4-FFF2-40B4-BE49-F238E27FC236}">
              <a16:creationId xmlns:a16="http://schemas.microsoft.com/office/drawing/2014/main" id="{D8988DEA-C218-4304-89B1-15E266CAF8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56" name="AutoShape 4">
          <a:extLst>
            <a:ext uri="{FF2B5EF4-FFF2-40B4-BE49-F238E27FC236}">
              <a16:creationId xmlns:a16="http://schemas.microsoft.com/office/drawing/2014/main" id="{A304AE3D-15A2-4C7F-B789-B56AF2115F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57" name="AutoShape 4">
          <a:extLst>
            <a:ext uri="{FF2B5EF4-FFF2-40B4-BE49-F238E27FC236}">
              <a16:creationId xmlns:a16="http://schemas.microsoft.com/office/drawing/2014/main" id="{64D64A49-D0E4-4E65-A202-11142DC234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58" name="AutoShape 4">
          <a:extLst>
            <a:ext uri="{FF2B5EF4-FFF2-40B4-BE49-F238E27FC236}">
              <a16:creationId xmlns:a16="http://schemas.microsoft.com/office/drawing/2014/main" id="{9DFE0112-2551-4C88-94E1-C363C3C67C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C2ADA8BE-5290-4CF4-A20D-0CD9432EDD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60" name="AutoShape 4">
          <a:extLst>
            <a:ext uri="{FF2B5EF4-FFF2-40B4-BE49-F238E27FC236}">
              <a16:creationId xmlns:a16="http://schemas.microsoft.com/office/drawing/2014/main" id="{6C3756D3-196E-4F2F-8FCC-36AD7F322E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61" name="AutoShape 4">
          <a:extLst>
            <a:ext uri="{FF2B5EF4-FFF2-40B4-BE49-F238E27FC236}">
              <a16:creationId xmlns:a16="http://schemas.microsoft.com/office/drawing/2014/main" id="{941DD8B2-D3CC-47E4-9577-258D6F1F8D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62" name="AutoShape 4">
          <a:extLst>
            <a:ext uri="{FF2B5EF4-FFF2-40B4-BE49-F238E27FC236}">
              <a16:creationId xmlns:a16="http://schemas.microsoft.com/office/drawing/2014/main" id="{AD8AB075-6A16-453A-9C8E-EDC5FBCEA1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63" name="AutoShape 4">
          <a:extLst>
            <a:ext uri="{FF2B5EF4-FFF2-40B4-BE49-F238E27FC236}">
              <a16:creationId xmlns:a16="http://schemas.microsoft.com/office/drawing/2014/main" id="{82050FCD-936D-45B3-806E-E2A329B9C6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64" name="AutoShape 4">
          <a:extLst>
            <a:ext uri="{FF2B5EF4-FFF2-40B4-BE49-F238E27FC236}">
              <a16:creationId xmlns:a16="http://schemas.microsoft.com/office/drawing/2014/main" id="{E6046156-ADCF-42E2-9004-DAA2B3DFCE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65" name="AutoShape 4">
          <a:extLst>
            <a:ext uri="{FF2B5EF4-FFF2-40B4-BE49-F238E27FC236}">
              <a16:creationId xmlns:a16="http://schemas.microsoft.com/office/drawing/2014/main" id="{A2EB81F8-B3F7-4507-AAD1-B918CF0B95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D28B4060-3F8D-45F4-90F4-EFE09974C1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667" name="AutoShape 4">
          <a:extLst>
            <a:ext uri="{FF2B5EF4-FFF2-40B4-BE49-F238E27FC236}">
              <a16:creationId xmlns:a16="http://schemas.microsoft.com/office/drawing/2014/main" id="{0EDA1B7B-0DE2-404B-B5AD-3F51C82A6C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668" name="AutoShape 4">
          <a:extLst>
            <a:ext uri="{FF2B5EF4-FFF2-40B4-BE49-F238E27FC236}">
              <a16:creationId xmlns:a16="http://schemas.microsoft.com/office/drawing/2014/main" id="{7245D46C-2B62-4534-8B3C-85C61BE1F3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669" name="AutoShape 4">
          <a:extLst>
            <a:ext uri="{FF2B5EF4-FFF2-40B4-BE49-F238E27FC236}">
              <a16:creationId xmlns:a16="http://schemas.microsoft.com/office/drawing/2014/main" id="{B12DCE75-1E14-4C24-A501-B70468773E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670" name="AutoShape 4">
          <a:extLst>
            <a:ext uri="{FF2B5EF4-FFF2-40B4-BE49-F238E27FC236}">
              <a16:creationId xmlns:a16="http://schemas.microsoft.com/office/drawing/2014/main" id="{7A2544EA-FC3B-4B1D-B2E5-011AEC2B19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671" name="AutoShape 4">
          <a:extLst>
            <a:ext uri="{FF2B5EF4-FFF2-40B4-BE49-F238E27FC236}">
              <a16:creationId xmlns:a16="http://schemas.microsoft.com/office/drawing/2014/main" id="{AC27FC22-2320-4241-A9BA-9A48E11AA9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672" name="AutoShape 4">
          <a:extLst>
            <a:ext uri="{FF2B5EF4-FFF2-40B4-BE49-F238E27FC236}">
              <a16:creationId xmlns:a16="http://schemas.microsoft.com/office/drawing/2014/main" id="{B86F2545-215D-413D-9693-4A70D2D398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93A2E93-B209-4AF4-A888-A89DFF7B55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74" name="AutoShape 4">
          <a:extLst>
            <a:ext uri="{FF2B5EF4-FFF2-40B4-BE49-F238E27FC236}">
              <a16:creationId xmlns:a16="http://schemas.microsoft.com/office/drawing/2014/main" id="{EC6C3896-63AA-4163-BB4A-53411499F8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75" name="AutoShape 4">
          <a:extLst>
            <a:ext uri="{FF2B5EF4-FFF2-40B4-BE49-F238E27FC236}">
              <a16:creationId xmlns:a16="http://schemas.microsoft.com/office/drawing/2014/main" id="{9FD260A4-5111-4712-AB4E-5EAE61601F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76" name="AutoShape 4">
          <a:extLst>
            <a:ext uri="{FF2B5EF4-FFF2-40B4-BE49-F238E27FC236}">
              <a16:creationId xmlns:a16="http://schemas.microsoft.com/office/drawing/2014/main" id="{61AD26F3-CE49-4D48-B5B4-B2E79996CA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77" name="AutoShape 4">
          <a:extLst>
            <a:ext uri="{FF2B5EF4-FFF2-40B4-BE49-F238E27FC236}">
              <a16:creationId xmlns:a16="http://schemas.microsoft.com/office/drawing/2014/main" id="{CF4D4BA9-8767-4C9C-BF5D-FC73B447DA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78" name="AutoShape 4">
          <a:extLst>
            <a:ext uri="{FF2B5EF4-FFF2-40B4-BE49-F238E27FC236}">
              <a16:creationId xmlns:a16="http://schemas.microsoft.com/office/drawing/2014/main" id="{EC750E8B-F0CB-4910-AB6C-FB6DE1A408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79" name="AutoShape 4">
          <a:extLst>
            <a:ext uri="{FF2B5EF4-FFF2-40B4-BE49-F238E27FC236}">
              <a16:creationId xmlns:a16="http://schemas.microsoft.com/office/drawing/2014/main" id="{29F2F7E2-75B6-45EF-A70E-E3EA02E0FE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DCD4A010-6B8C-4813-BAC3-05C22158E6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81" name="AutoShape 4">
          <a:extLst>
            <a:ext uri="{FF2B5EF4-FFF2-40B4-BE49-F238E27FC236}">
              <a16:creationId xmlns:a16="http://schemas.microsoft.com/office/drawing/2014/main" id="{A6914FA3-D1BB-4C6D-868E-02CBF96763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82" name="AutoShape 4">
          <a:extLst>
            <a:ext uri="{FF2B5EF4-FFF2-40B4-BE49-F238E27FC236}">
              <a16:creationId xmlns:a16="http://schemas.microsoft.com/office/drawing/2014/main" id="{892223DD-9065-4B8C-BB01-309F913201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83" name="AutoShape 4">
          <a:extLst>
            <a:ext uri="{FF2B5EF4-FFF2-40B4-BE49-F238E27FC236}">
              <a16:creationId xmlns:a16="http://schemas.microsoft.com/office/drawing/2014/main" id="{67104925-9864-45EF-B5BB-F5AB87C607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84" name="AutoShape 4">
          <a:extLst>
            <a:ext uri="{FF2B5EF4-FFF2-40B4-BE49-F238E27FC236}">
              <a16:creationId xmlns:a16="http://schemas.microsoft.com/office/drawing/2014/main" id="{9F59D0DC-1999-47E3-BF09-7B066A53EA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85" name="AutoShape 4">
          <a:extLst>
            <a:ext uri="{FF2B5EF4-FFF2-40B4-BE49-F238E27FC236}">
              <a16:creationId xmlns:a16="http://schemas.microsoft.com/office/drawing/2014/main" id="{E40B5AE1-3DF8-4537-A116-72F4DCCE91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86" name="AutoShape 4">
          <a:extLst>
            <a:ext uri="{FF2B5EF4-FFF2-40B4-BE49-F238E27FC236}">
              <a16:creationId xmlns:a16="http://schemas.microsoft.com/office/drawing/2014/main" id="{FD868802-AD06-4537-B3BC-95756D286C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3A82BCD1-9AEF-4D71-B187-C229DDFE46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88" name="AutoShape 4">
          <a:extLst>
            <a:ext uri="{FF2B5EF4-FFF2-40B4-BE49-F238E27FC236}">
              <a16:creationId xmlns:a16="http://schemas.microsoft.com/office/drawing/2014/main" id="{9518BC81-DCD9-4BCB-BBA7-968D37185B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89" name="AutoShape 4">
          <a:extLst>
            <a:ext uri="{FF2B5EF4-FFF2-40B4-BE49-F238E27FC236}">
              <a16:creationId xmlns:a16="http://schemas.microsoft.com/office/drawing/2014/main" id="{58FDB99C-C870-4FE4-9614-65862E8ECF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90" name="AutoShape 4">
          <a:extLst>
            <a:ext uri="{FF2B5EF4-FFF2-40B4-BE49-F238E27FC236}">
              <a16:creationId xmlns:a16="http://schemas.microsoft.com/office/drawing/2014/main" id="{4057CDC9-15BE-439F-9848-E7065A7BF7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91" name="AutoShape 4">
          <a:extLst>
            <a:ext uri="{FF2B5EF4-FFF2-40B4-BE49-F238E27FC236}">
              <a16:creationId xmlns:a16="http://schemas.microsoft.com/office/drawing/2014/main" id="{5D24C003-A4B5-413A-9775-5E914F1059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92" name="AutoShape 4">
          <a:extLst>
            <a:ext uri="{FF2B5EF4-FFF2-40B4-BE49-F238E27FC236}">
              <a16:creationId xmlns:a16="http://schemas.microsoft.com/office/drawing/2014/main" id="{26BC801E-807D-44EA-8748-1F14112597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93" name="AutoShape 4">
          <a:extLst>
            <a:ext uri="{FF2B5EF4-FFF2-40B4-BE49-F238E27FC236}">
              <a16:creationId xmlns:a16="http://schemas.microsoft.com/office/drawing/2014/main" id="{93D6A8D7-2CD2-4FD6-ADC0-529784479B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3FDCB873-994D-4340-A6BF-865ED78A91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95" name="AutoShape 4">
          <a:extLst>
            <a:ext uri="{FF2B5EF4-FFF2-40B4-BE49-F238E27FC236}">
              <a16:creationId xmlns:a16="http://schemas.microsoft.com/office/drawing/2014/main" id="{98A36789-F9A5-42E2-9051-EC3F42A167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96" name="AutoShape 4">
          <a:extLst>
            <a:ext uri="{FF2B5EF4-FFF2-40B4-BE49-F238E27FC236}">
              <a16:creationId xmlns:a16="http://schemas.microsoft.com/office/drawing/2014/main" id="{89C6B636-2A75-4C54-8DE4-B334FBAC2D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97" name="AutoShape 4">
          <a:extLst>
            <a:ext uri="{FF2B5EF4-FFF2-40B4-BE49-F238E27FC236}">
              <a16:creationId xmlns:a16="http://schemas.microsoft.com/office/drawing/2014/main" id="{901C4D6F-DA6F-4B7B-9B7A-110D24659B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698" name="AutoShape 4">
          <a:extLst>
            <a:ext uri="{FF2B5EF4-FFF2-40B4-BE49-F238E27FC236}">
              <a16:creationId xmlns:a16="http://schemas.microsoft.com/office/drawing/2014/main" id="{91AED499-B3A5-4C83-92F7-EFBA73D683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699" name="AutoShape 4">
          <a:extLst>
            <a:ext uri="{FF2B5EF4-FFF2-40B4-BE49-F238E27FC236}">
              <a16:creationId xmlns:a16="http://schemas.microsoft.com/office/drawing/2014/main" id="{6957AA6B-FE12-4598-894B-5E314A5F69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700" name="AutoShape 4">
          <a:extLst>
            <a:ext uri="{FF2B5EF4-FFF2-40B4-BE49-F238E27FC236}">
              <a16:creationId xmlns:a16="http://schemas.microsoft.com/office/drawing/2014/main" id="{26998669-5582-4B93-BF06-DE1BFACBDD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9F55FE8B-5231-4B40-87C4-19100FDFFF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702" name="AutoShape 4">
          <a:extLst>
            <a:ext uri="{FF2B5EF4-FFF2-40B4-BE49-F238E27FC236}">
              <a16:creationId xmlns:a16="http://schemas.microsoft.com/office/drawing/2014/main" id="{BC10C30F-4288-46D2-A90E-ACD89D27DB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703" name="AutoShape 4">
          <a:extLst>
            <a:ext uri="{FF2B5EF4-FFF2-40B4-BE49-F238E27FC236}">
              <a16:creationId xmlns:a16="http://schemas.microsoft.com/office/drawing/2014/main" id="{4B27BB8A-C24A-49D3-A137-993B53C094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704" name="AutoShape 4">
          <a:extLst>
            <a:ext uri="{FF2B5EF4-FFF2-40B4-BE49-F238E27FC236}">
              <a16:creationId xmlns:a16="http://schemas.microsoft.com/office/drawing/2014/main" id="{AFBA044F-D30D-45C4-8DCB-40F87E765C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05" name="AutoShape 4">
          <a:extLst>
            <a:ext uri="{FF2B5EF4-FFF2-40B4-BE49-F238E27FC236}">
              <a16:creationId xmlns:a16="http://schemas.microsoft.com/office/drawing/2014/main" id="{EFC0E71E-AAFF-4314-B911-99E9D79322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06" name="AutoShape 4">
          <a:extLst>
            <a:ext uri="{FF2B5EF4-FFF2-40B4-BE49-F238E27FC236}">
              <a16:creationId xmlns:a16="http://schemas.microsoft.com/office/drawing/2014/main" id="{1A8AE830-0500-4342-A48D-2448769574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07" name="AutoShape 4">
          <a:extLst>
            <a:ext uri="{FF2B5EF4-FFF2-40B4-BE49-F238E27FC236}">
              <a16:creationId xmlns:a16="http://schemas.microsoft.com/office/drawing/2014/main" id="{8821B922-7A88-44F1-8476-9A12DF9ADD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B9726A8B-B6D4-4357-98C0-C9C659F0BC3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09" name="AutoShape 4">
          <a:extLst>
            <a:ext uri="{FF2B5EF4-FFF2-40B4-BE49-F238E27FC236}">
              <a16:creationId xmlns:a16="http://schemas.microsoft.com/office/drawing/2014/main" id="{61A58CE0-9545-4F12-BD24-5D8D215452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10" name="AutoShape 4">
          <a:extLst>
            <a:ext uri="{FF2B5EF4-FFF2-40B4-BE49-F238E27FC236}">
              <a16:creationId xmlns:a16="http://schemas.microsoft.com/office/drawing/2014/main" id="{C8BBE2C6-0FD3-4CCE-B93F-3B0AF4734A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11" name="AutoShape 4">
          <a:extLst>
            <a:ext uri="{FF2B5EF4-FFF2-40B4-BE49-F238E27FC236}">
              <a16:creationId xmlns:a16="http://schemas.microsoft.com/office/drawing/2014/main" id="{17825CFB-464D-43A4-89A6-EEF8C3C8FD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12" name="AutoShape 4">
          <a:extLst>
            <a:ext uri="{FF2B5EF4-FFF2-40B4-BE49-F238E27FC236}">
              <a16:creationId xmlns:a16="http://schemas.microsoft.com/office/drawing/2014/main" id="{669DF545-C5C4-46EE-A67C-F7F02F67E3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13" name="AutoShape 4">
          <a:extLst>
            <a:ext uri="{FF2B5EF4-FFF2-40B4-BE49-F238E27FC236}">
              <a16:creationId xmlns:a16="http://schemas.microsoft.com/office/drawing/2014/main" id="{E89E58C2-CD2D-45D1-938D-D3A74963E7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14" name="AutoShape 4">
          <a:extLst>
            <a:ext uri="{FF2B5EF4-FFF2-40B4-BE49-F238E27FC236}">
              <a16:creationId xmlns:a16="http://schemas.microsoft.com/office/drawing/2014/main" id="{EA49939D-D293-437F-B376-639FC5DB37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F3C7BFDD-8B6D-445C-B70C-E09C74289D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24</xdr:row>
      <xdr:rowOff>57150</xdr:rowOff>
    </xdr:to>
    <xdr:sp macro="" textlink="">
      <xdr:nvSpPr>
        <xdr:cNvPr id="716" name="AutoShape 4">
          <a:extLst>
            <a:ext uri="{FF2B5EF4-FFF2-40B4-BE49-F238E27FC236}">
              <a16:creationId xmlns:a16="http://schemas.microsoft.com/office/drawing/2014/main" id="{6B261436-95C8-4D34-8EF2-BB9172FEDE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24</xdr:row>
      <xdr:rowOff>57150</xdr:rowOff>
    </xdr:to>
    <xdr:sp macro="" textlink="">
      <xdr:nvSpPr>
        <xdr:cNvPr id="717" name="AutoShape 4">
          <a:extLst>
            <a:ext uri="{FF2B5EF4-FFF2-40B4-BE49-F238E27FC236}">
              <a16:creationId xmlns:a16="http://schemas.microsoft.com/office/drawing/2014/main" id="{C55BFF51-3B9E-4E80-B386-1DA7739578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24</xdr:row>
      <xdr:rowOff>57150</xdr:rowOff>
    </xdr:to>
    <xdr:sp macro="" textlink="">
      <xdr:nvSpPr>
        <xdr:cNvPr id="718" name="AutoShape 4">
          <a:extLst>
            <a:ext uri="{FF2B5EF4-FFF2-40B4-BE49-F238E27FC236}">
              <a16:creationId xmlns:a16="http://schemas.microsoft.com/office/drawing/2014/main" id="{D3E16AA9-6605-40D4-8B99-C6FA5E68DA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24</xdr:row>
      <xdr:rowOff>57150</xdr:rowOff>
    </xdr:to>
    <xdr:sp macro="" textlink="">
      <xdr:nvSpPr>
        <xdr:cNvPr id="719" name="AutoShape 4">
          <a:extLst>
            <a:ext uri="{FF2B5EF4-FFF2-40B4-BE49-F238E27FC236}">
              <a16:creationId xmlns:a16="http://schemas.microsoft.com/office/drawing/2014/main" id="{738A871B-7A16-4E1B-892E-98611281DD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720" name="AutoShape 4">
          <a:extLst>
            <a:ext uri="{FF2B5EF4-FFF2-40B4-BE49-F238E27FC236}">
              <a16:creationId xmlns:a16="http://schemas.microsoft.com/office/drawing/2014/main" id="{07034E8F-6DA2-4EDF-A1B8-9907B2C0D1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721" name="AutoShape 4">
          <a:extLst>
            <a:ext uri="{FF2B5EF4-FFF2-40B4-BE49-F238E27FC236}">
              <a16:creationId xmlns:a16="http://schemas.microsoft.com/office/drawing/2014/main" id="{67648F18-5C50-4309-BB81-3FDE0A5EAD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2E56ED-BBBD-4C5E-9CA9-FBD6DA7493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723" name="AutoShape 4">
          <a:extLst>
            <a:ext uri="{FF2B5EF4-FFF2-40B4-BE49-F238E27FC236}">
              <a16:creationId xmlns:a16="http://schemas.microsoft.com/office/drawing/2014/main" id="{1F0B8C90-AAD9-436D-AE02-D7FE0355E9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724" name="AutoShape 4">
          <a:extLst>
            <a:ext uri="{FF2B5EF4-FFF2-40B4-BE49-F238E27FC236}">
              <a16:creationId xmlns:a16="http://schemas.microsoft.com/office/drawing/2014/main" id="{A0A4C3D3-6793-4A88-AC7D-A8C811695F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725" name="AutoShape 4">
          <a:extLst>
            <a:ext uri="{FF2B5EF4-FFF2-40B4-BE49-F238E27FC236}">
              <a16:creationId xmlns:a16="http://schemas.microsoft.com/office/drawing/2014/main" id="{A161D8A1-E296-49E8-B8C8-FE49DECF5D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26" name="AutoShape 4">
          <a:extLst>
            <a:ext uri="{FF2B5EF4-FFF2-40B4-BE49-F238E27FC236}">
              <a16:creationId xmlns:a16="http://schemas.microsoft.com/office/drawing/2014/main" id="{8C2C7A6D-71BA-4C2E-8734-FA82EA1E72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27" name="AutoShape 4">
          <a:extLst>
            <a:ext uri="{FF2B5EF4-FFF2-40B4-BE49-F238E27FC236}">
              <a16:creationId xmlns:a16="http://schemas.microsoft.com/office/drawing/2014/main" id="{ADC654FF-C564-46DC-AD75-97A9CF0AB2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28" name="AutoShape 4">
          <a:extLst>
            <a:ext uri="{FF2B5EF4-FFF2-40B4-BE49-F238E27FC236}">
              <a16:creationId xmlns:a16="http://schemas.microsoft.com/office/drawing/2014/main" id="{252B2613-47DF-4290-88D9-C4E087F0F9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398D6D71-74E3-4B38-89B5-FD7D57305D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30" name="AutoShape 4">
          <a:extLst>
            <a:ext uri="{FF2B5EF4-FFF2-40B4-BE49-F238E27FC236}">
              <a16:creationId xmlns:a16="http://schemas.microsoft.com/office/drawing/2014/main" id="{EC753F4C-A892-4387-9EA9-A8940AD8B3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31" name="AutoShape 4">
          <a:extLst>
            <a:ext uri="{FF2B5EF4-FFF2-40B4-BE49-F238E27FC236}">
              <a16:creationId xmlns:a16="http://schemas.microsoft.com/office/drawing/2014/main" id="{C001A918-21A7-4AB8-AC68-C0E1C07BBA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32" name="AutoShape 4">
          <a:extLst>
            <a:ext uri="{FF2B5EF4-FFF2-40B4-BE49-F238E27FC236}">
              <a16:creationId xmlns:a16="http://schemas.microsoft.com/office/drawing/2014/main" id="{77AB2AE2-35D4-4337-814A-E7FCE6C4E7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33" name="AutoShape 4">
          <a:extLst>
            <a:ext uri="{FF2B5EF4-FFF2-40B4-BE49-F238E27FC236}">
              <a16:creationId xmlns:a16="http://schemas.microsoft.com/office/drawing/2014/main" id="{38BB0C36-8F70-4685-AEBC-5CF8A646D9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34" name="AutoShape 4">
          <a:extLst>
            <a:ext uri="{FF2B5EF4-FFF2-40B4-BE49-F238E27FC236}">
              <a16:creationId xmlns:a16="http://schemas.microsoft.com/office/drawing/2014/main" id="{CD2889DD-79C4-4247-8C9E-F13C444BBD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35" name="AutoShape 4">
          <a:extLst>
            <a:ext uri="{FF2B5EF4-FFF2-40B4-BE49-F238E27FC236}">
              <a16:creationId xmlns:a16="http://schemas.microsoft.com/office/drawing/2014/main" id="{F1BBD77F-895F-458B-87C8-D72449410C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E6BCF654-D621-4982-97A7-E54B8F44A5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24</xdr:row>
      <xdr:rowOff>57150</xdr:rowOff>
    </xdr:to>
    <xdr:sp macro="" textlink="">
      <xdr:nvSpPr>
        <xdr:cNvPr id="737" name="AutoShape 4">
          <a:extLst>
            <a:ext uri="{FF2B5EF4-FFF2-40B4-BE49-F238E27FC236}">
              <a16:creationId xmlns:a16="http://schemas.microsoft.com/office/drawing/2014/main" id="{78956FC0-3116-481A-A724-1F06C40195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24</xdr:row>
      <xdr:rowOff>57150</xdr:rowOff>
    </xdr:to>
    <xdr:sp macro="" textlink="">
      <xdr:nvSpPr>
        <xdr:cNvPr id="738" name="AutoShape 4">
          <a:extLst>
            <a:ext uri="{FF2B5EF4-FFF2-40B4-BE49-F238E27FC236}">
              <a16:creationId xmlns:a16="http://schemas.microsoft.com/office/drawing/2014/main" id="{6BB467CA-5979-4107-B97F-B305A01397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24</xdr:row>
      <xdr:rowOff>57150</xdr:rowOff>
    </xdr:to>
    <xdr:sp macro="" textlink="">
      <xdr:nvSpPr>
        <xdr:cNvPr id="739" name="AutoShape 4">
          <a:extLst>
            <a:ext uri="{FF2B5EF4-FFF2-40B4-BE49-F238E27FC236}">
              <a16:creationId xmlns:a16="http://schemas.microsoft.com/office/drawing/2014/main" id="{15192A98-C8A3-4B97-902B-090AF12772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24</xdr:row>
      <xdr:rowOff>57150</xdr:rowOff>
    </xdr:to>
    <xdr:sp macro="" textlink="">
      <xdr:nvSpPr>
        <xdr:cNvPr id="740" name="AutoShape 4">
          <a:extLst>
            <a:ext uri="{FF2B5EF4-FFF2-40B4-BE49-F238E27FC236}">
              <a16:creationId xmlns:a16="http://schemas.microsoft.com/office/drawing/2014/main" id="{7CCF34DA-714B-4C0B-903D-4401DCD2C0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4674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741" name="AutoShape 4">
          <a:extLst>
            <a:ext uri="{FF2B5EF4-FFF2-40B4-BE49-F238E27FC236}">
              <a16:creationId xmlns:a16="http://schemas.microsoft.com/office/drawing/2014/main" id="{94659793-5729-4991-8792-F6C73D27C9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742" name="AutoShape 4">
          <a:extLst>
            <a:ext uri="{FF2B5EF4-FFF2-40B4-BE49-F238E27FC236}">
              <a16:creationId xmlns:a16="http://schemas.microsoft.com/office/drawing/2014/main" id="{3C19290F-3C94-46FA-8310-CB3B85845F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3AB69FE7-5186-499E-B19E-4C433A559C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744" name="AutoShape 4">
          <a:extLst>
            <a:ext uri="{FF2B5EF4-FFF2-40B4-BE49-F238E27FC236}">
              <a16:creationId xmlns:a16="http://schemas.microsoft.com/office/drawing/2014/main" id="{9DF834A2-E47A-48B0-A144-E1668265E3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745" name="AutoShape 4">
          <a:extLst>
            <a:ext uri="{FF2B5EF4-FFF2-40B4-BE49-F238E27FC236}">
              <a16:creationId xmlns:a16="http://schemas.microsoft.com/office/drawing/2014/main" id="{5699D21D-D283-4523-B383-1DE772AF86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47625</xdr:rowOff>
    </xdr:to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496E08E8-DC56-46AB-A357-43A0163D8D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57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47" name="AutoShape 4">
          <a:extLst>
            <a:ext uri="{FF2B5EF4-FFF2-40B4-BE49-F238E27FC236}">
              <a16:creationId xmlns:a16="http://schemas.microsoft.com/office/drawing/2014/main" id="{5FABCB83-C761-4D7A-AF22-32B5DA8DD0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48" name="AutoShape 4">
          <a:extLst>
            <a:ext uri="{FF2B5EF4-FFF2-40B4-BE49-F238E27FC236}">
              <a16:creationId xmlns:a16="http://schemas.microsoft.com/office/drawing/2014/main" id="{9E1CE760-FA22-41C3-864B-A1FA92944D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49" name="AutoShape 4">
          <a:extLst>
            <a:ext uri="{FF2B5EF4-FFF2-40B4-BE49-F238E27FC236}">
              <a16:creationId xmlns:a16="http://schemas.microsoft.com/office/drawing/2014/main" id="{C03F2318-B9D1-4190-8871-877F536C04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50" name="AutoShape 4">
          <a:extLst>
            <a:ext uri="{FF2B5EF4-FFF2-40B4-BE49-F238E27FC236}">
              <a16:creationId xmlns:a16="http://schemas.microsoft.com/office/drawing/2014/main" id="{C7E112D3-0A27-4E74-AB2E-8DDE7617D7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51" name="AutoShape 4">
          <a:extLst>
            <a:ext uri="{FF2B5EF4-FFF2-40B4-BE49-F238E27FC236}">
              <a16:creationId xmlns:a16="http://schemas.microsoft.com/office/drawing/2014/main" id="{F72A78FB-C770-4FA6-BDBA-55A3610148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52" name="AutoShape 4">
          <a:extLst>
            <a:ext uri="{FF2B5EF4-FFF2-40B4-BE49-F238E27FC236}">
              <a16:creationId xmlns:a16="http://schemas.microsoft.com/office/drawing/2014/main" id="{679565AB-BCF0-4871-BDD7-DD8CA2094D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53" name="AutoShape 4">
          <a:extLst>
            <a:ext uri="{FF2B5EF4-FFF2-40B4-BE49-F238E27FC236}">
              <a16:creationId xmlns:a16="http://schemas.microsoft.com/office/drawing/2014/main" id="{9BA9666B-431D-4B1F-B857-101DCC3E65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4F9B58E7-87C7-46F2-96C6-B0BD45D612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55" name="AutoShape 4">
          <a:extLst>
            <a:ext uri="{FF2B5EF4-FFF2-40B4-BE49-F238E27FC236}">
              <a16:creationId xmlns:a16="http://schemas.microsoft.com/office/drawing/2014/main" id="{BE326154-9403-4AA1-A3AE-D8EF0FB1DE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56" name="AutoShape 4">
          <a:extLst>
            <a:ext uri="{FF2B5EF4-FFF2-40B4-BE49-F238E27FC236}">
              <a16:creationId xmlns:a16="http://schemas.microsoft.com/office/drawing/2014/main" id="{A2D9AA69-B3CE-4862-A03F-94EFA5AAAB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9EDE438D-02AF-48A5-BA01-02627D7E16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758" name="AutoShape 4">
          <a:extLst>
            <a:ext uri="{FF2B5EF4-FFF2-40B4-BE49-F238E27FC236}">
              <a16:creationId xmlns:a16="http://schemas.microsoft.com/office/drawing/2014/main" id="{83E16CFC-B992-49D1-BCBC-C4F0FAC7EC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759" name="AutoShape 4">
          <a:extLst>
            <a:ext uri="{FF2B5EF4-FFF2-40B4-BE49-F238E27FC236}">
              <a16:creationId xmlns:a16="http://schemas.microsoft.com/office/drawing/2014/main" id="{7F33836A-7AB4-468F-BC10-C52CFE4AAB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79F3C2CA-FF8A-4DB0-B155-4890204182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761" name="AutoShape 4">
          <a:extLst>
            <a:ext uri="{FF2B5EF4-FFF2-40B4-BE49-F238E27FC236}">
              <a16:creationId xmlns:a16="http://schemas.microsoft.com/office/drawing/2014/main" id="{5CABB118-CEFF-410A-A2EC-E7860F66BE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62" name="AutoShape 4">
          <a:extLst>
            <a:ext uri="{FF2B5EF4-FFF2-40B4-BE49-F238E27FC236}">
              <a16:creationId xmlns:a16="http://schemas.microsoft.com/office/drawing/2014/main" id="{24317D8B-7072-4019-AF68-EAF2627418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63" name="AutoShape 4">
          <a:extLst>
            <a:ext uri="{FF2B5EF4-FFF2-40B4-BE49-F238E27FC236}">
              <a16:creationId xmlns:a16="http://schemas.microsoft.com/office/drawing/2014/main" id="{431395FD-52AA-4663-830F-4B3B0FCE3D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64" name="AutoShape 4">
          <a:extLst>
            <a:ext uri="{FF2B5EF4-FFF2-40B4-BE49-F238E27FC236}">
              <a16:creationId xmlns:a16="http://schemas.microsoft.com/office/drawing/2014/main" id="{2136AA2D-D71C-4984-97FD-AB73ADAFE5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65" name="AutoShape 4">
          <a:extLst>
            <a:ext uri="{FF2B5EF4-FFF2-40B4-BE49-F238E27FC236}">
              <a16:creationId xmlns:a16="http://schemas.microsoft.com/office/drawing/2014/main" id="{A041181F-7047-4949-9036-FB189B57C7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66" name="AutoShape 4">
          <a:extLst>
            <a:ext uri="{FF2B5EF4-FFF2-40B4-BE49-F238E27FC236}">
              <a16:creationId xmlns:a16="http://schemas.microsoft.com/office/drawing/2014/main" id="{5BF41223-9099-43FE-BDFC-D5FBC2CA4E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AEE49562-30BD-4FD6-B056-45A1B327A4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68" name="AutoShape 4">
          <a:extLst>
            <a:ext uri="{FF2B5EF4-FFF2-40B4-BE49-F238E27FC236}">
              <a16:creationId xmlns:a16="http://schemas.microsoft.com/office/drawing/2014/main" id="{215EEB16-0E60-4D50-86D6-7B19DFE85B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69" name="AutoShape 4">
          <a:extLst>
            <a:ext uri="{FF2B5EF4-FFF2-40B4-BE49-F238E27FC236}">
              <a16:creationId xmlns:a16="http://schemas.microsoft.com/office/drawing/2014/main" id="{05FE66D6-C5A7-48F7-B2FF-249BB314F0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70" name="AutoShape 4">
          <a:extLst>
            <a:ext uri="{FF2B5EF4-FFF2-40B4-BE49-F238E27FC236}">
              <a16:creationId xmlns:a16="http://schemas.microsoft.com/office/drawing/2014/main" id="{DF14703E-971A-445F-B28D-6BC43E8725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71" name="AutoShape 4">
          <a:extLst>
            <a:ext uri="{FF2B5EF4-FFF2-40B4-BE49-F238E27FC236}">
              <a16:creationId xmlns:a16="http://schemas.microsoft.com/office/drawing/2014/main" id="{14130682-C18A-4B51-949A-C78FDD7EDF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72" name="AutoShape 4">
          <a:extLst>
            <a:ext uri="{FF2B5EF4-FFF2-40B4-BE49-F238E27FC236}">
              <a16:creationId xmlns:a16="http://schemas.microsoft.com/office/drawing/2014/main" id="{CB6AE099-ECFE-4E5D-9097-C2632A76A9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73" name="AutoShape 4">
          <a:extLst>
            <a:ext uri="{FF2B5EF4-FFF2-40B4-BE49-F238E27FC236}">
              <a16:creationId xmlns:a16="http://schemas.microsoft.com/office/drawing/2014/main" id="{D5F69852-B044-4719-8C34-F30BEB4D8E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692863AD-0F67-4947-ADDB-2857F84571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75" name="AutoShape 4">
          <a:extLst>
            <a:ext uri="{FF2B5EF4-FFF2-40B4-BE49-F238E27FC236}">
              <a16:creationId xmlns:a16="http://schemas.microsoft.com/office/drawing/2014/main" id="{820B19EB-129C-42FF-BC1B-1CB3D5B8D5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76" name="AutoShape 4">
          <a:extLst>
            <a:ext uri="{FF2B5EF4-FFF2-40B4-BE49-F238E27FC236}">
              <a16:creationId xmlns:a16="http://schemas.microsoft.com/office/drawing/2014/main" id="{6547CA0C-524A-4691-A971-7501B3CD5A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77" name="AutoShape 4">
          <a:extLst>
            <a:ext uri="{FF2B5EF4-FFF2-40B4-BE49-F238E27FC236}">
              <a16:creationId xmlns:a16="http://schemas.microsoft.com/office/drawing/2014/main" id="{A60E059B-83E4-4F68-B94F-BA57AA4C03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78" name="AutoShape 4">
          <a:extLst>
            <a:ext uri="{FF2B5EF4-FFF2-40B4-BE49-F238E27FC236}">
              <a16:creationId xmlns:a16="http://schemas.microsoft.com/office/drawing/2014/main" id="{F626F88B-F479-4CEC-8233-DDEEF8FF5F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779" name="AutoShape 4">
          <a:extLst>
            <a:ext uri="{FF2B5EF4-FFF2-40B4-BE49-F238E27FC236}">
              <a16:creationId xmlns:a16="http://schemas.microsoft.com/office/drawing/2014/main" id="{4F2C004F-3972-4759-9C14-613B44D397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780" name="AutoShape 4">
          <a:extLst>
            <a:ext uri="{FF2B5EF4-FFF2-40B4-BE49-F238E27FC236}">
              <a16:creationId xmlns:a16="http://schemas.microsoft.com/office/drawing/2014/main" id="{37485195-99C3-4446-956D-6E7D193232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80A21BD2-0F22-48F0-80F4-DDC14AB943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782" name="AutoShape 4">
          <a:extLst>
            <a:ext uri="{FF2B5EF4-FFF2-40B4-BE49-F238E27FC236}">
              <a16:creationId xmlns:a16="http://schemas.microsoft.com/office/drawing/2014/main" id="{96402C6D-48EB-4799-B2FB-9D89B0F651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83" name="AutoShape 4">
          <a:extLst>
            <a:ext uri="{FF2B5EF4-FFF2-40B4-BE49-F238E27FC236}">
              <a16:creationId xmlns:a16="http://schemas.microsoft.com/office/drawing/2014/main" id="{CC29A9F6-ABAD-4A65-A25B-7B21CAB380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84" name="AutoShape 4">
          <a:extLst>
            <a:ext uri="{FF2B5EF4-FFF2-40B4-BE49-F238E27FC236}">
              <a16:creationId xmlns:a16="http://schemas.microsoft.com/office/drawing/2014/main" id="{F3FF59D5-8E25-4815-9716-BAE9A263D2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46532258-46C9-4598-B9F6-5946DF73DB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86" name="AutoShape 4">
          <a:extLst>
            <a:ext uri="{FF2B5EF4-FFF2-40B4-BE49-F238E27FC236}">
              <a16:creationId xmlns:a16="http://schemas.microsoft.com/office/drawing/2014/main" id="{C7B5FCA3-FFDD-452C-A53E-0E732CCC25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87" name="AutoShape 4">
          <a:extLst>
            <a:ext uri="{FF2B5EF4-FFF2-40B4-BE49-F238E27FC236}">
              <a16:creationId xmlns:a16="http://schemas.microsoft.com/office/drawing/2014/main" id="{22E9B9E1-E4D6-40E5-B0BA-11AED53F22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88" name="AutoShape 4">
          <a:extLst>
            <a:ext uri="{FF2B5EF4-FFF2-40B4-BE49-F238E27FC236}">
              <a16:creationId xmlns:a16="http://schemas.microsoft.com/office/drawing/2014/main" id="{9E75F367-E631-4F70-8156-C2D1CDABD0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89" name="AutoShape 4">
          <a:extLst>
            <a:ext uri="{FF2B5EF4-FFF2-40B4-BE49-F238E27FC236}">
              <a16:creationId xmlns:a16="http://schemas.microsoft.com/office/drawing/2014/main" id="{02AAEF8E-71C3-4298-AE8F-53FCD81F22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90" name="AutoShape 4">
          <a:extLst>
            <a:ext uri="{FF2B5EF4-FFF2-40B4-BE49-F238E27FC236}">
              <a16:creationId xmlns:a16="http://schemas.microsoft.com/office/drawing/2014/main" id="{09AF1703-C7D3-401C-8328-7548AC1E14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91" name="AutoShape 4">
          <a:extLst>
            <a:ext uri="{FF2B5EF4-FFF2-40B4-BE49-F238E27FC236}">
              <a16:creationId xmlns:a16="http://schemas.microsoft.com/office/drawing/2014/main" id="{6AF62518-6F75-4E2E-B64F-E52646DCF9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A82B5D5B-800F-4377-8EAE-6A7FE9414B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93" name="AutoShape 4">
          <a:extLst>
            <a:ext uri="{FF2B5EF4-FFF2-40B4-BE49-F238E27FC236}">
              <a16:creationId xmlns:a16="http://schemas.microsoft.com/office/drawing/2014/main" id="{A71FCFB8-39A3-4472-92E3-5D99F66A3C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94" name="AutoShape 4">
          <a:extLst>
            <a:ext uri="{FF2B5EF4-FFF2-40B4-BE49-F238E27FC236}">
              <a16:creationId xmlns:a16="http://schemas.microsoft.com/office/drawing/2014/main" id="{E5169408-D776-498A-A613-C39698F927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95" name="AutoShape 4">
          <a:extLst>
            <a:ext uri="{FF2B5EF4-FFF2-40B4-BE49-F238E27FC236}">
              <a16:creationId xmlns:a16="http://schemas.microsoft.com/office/drawing/2014/main" id="{022D174B-08A4-42C7-A561-2B00783AFB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96" name="AutoShape 4">
          <a:extLst>
            <a:ext uri="{FF2B5EF4-FFF2-40B4-BE49-F238E27FC236}">
              <a16:creationId xmlns:a16="http://schemas.microsoft.com/office/drawing/2014/main" id="{A9D3DC61-3B01-44B0-B895-60DE2FDCC8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97" name="AutoShape 4">
          <a:extLst>
            <a:ext uri="{FF2B5EF4-FFF2-40B4-BE49-F238E27FC236}">
              <a16:creationId xmlns:a16="http://schemas.microsoft.com/office/drawing/2014/main" id="{EB0ADD5D-40F6-48CF-89AB-6728DF3F79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98" name="AutoShape 4">
          <a:extLst>
            <a:ext uri="{FF2B5EF4-FFF2-40B4-BE49-F238E27FC236}">
              <a16:creationId xmlns:a16="http://schemas.microsoft.com/office/drawing/2014/main" id="{7024D110-68E5-467C-8A99-6A2D4442E0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799" name="AutoShape 4">
          <a:extLst>
            <a:ext uri="{FF2B5EF4-FFF2-40B4-BE49-F238E27FC236}">
              <a16:creationId xmlns:a16="http://schemas.microsoft.com/office/drawing/2014/main" id="{348905A6-3EF3-487A-8FD9-5205248EE8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00" name="AutoShape 4">
          <a:extLst>
            <a:ext uri="{FF2B5EF4-FFF2-40B4-BE49-F238E27FC236}">
              <a16:creationId xmlns:a16="http://schemas.microsoft.com/office/drawing/2014/main" id="{72C0ECEB-EB89-4036-A210-EA406733B9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01" name="AutoShape 4">
          <a:extLst>
            <a:ext uri="{FF2B5EF4-FFF2-40B4-BE49-F238E27FC236}">
              <a16:creationId xmlns:a16="http://schemas.microsoft.com/office/drawing/2014/main" id="{C8668CF1-0A78-4CC3-8E14-4ACEF85A5D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02" name="AutoShape 4">
          <a:extLst>
            <a:ext uri="{FF2B5EF4-FFF2-40B4-BE49-F238E27FC236}">
              <a16:creationId xmlns:a16="http://schemas.microsoft.com/office/drawing/2014/main" id="{D63CAACB-5D91-4448-8DAE-985383BAE8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03" name="AutoShape 4">
          <a:extLst>
            <a:ext uri="{FF2B5EF4-FFF2-40B4-BE49-F238E27FC236}">
              <a16:creationId xmlns:a16="http://schemas.microsoft.com/office/drawing/2014/main" id="{D7AE879F-027B-43CD-B112-CA3B257A86E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04" name="AutoShape 4">
          <a:extLst>
            <a:ext uri="{FF2B5EF4-FFF2-40B4-BE49-F238E27FC236}">
              <a16:creationId xmlns:a16="http://schemas.microsoft.com/office/drawing/2014/main" id="{DF02B87E-1BFD-4977-9448-AB2784DA79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A573644E-AF5F-4C50-844B-E45712AB24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06" name="AutoShape 4">
          <a:extLst>
            <a:ext uri="{FF2B5EF4-FFF2-40B4-BE49-F238E27FC236}">
              <a16:creationId xmlns:a16="http://schemas.microsoft.com/office/drawing/2014/main" id="{E8E78B7E-78F7-4F54-A11B-27B0DB498B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07" name="AutoShape 4">
          <a:extLst>
            <a:ext uri="{FF2B5EF4-FFF2-40B4-BE49-F238E27FC236}">
              <a16:creationId xmlns:a16="http://schemas.microsoft.com/office/drawing/2014/main" id="{CA2E8C66-FB6D-40FB-A26D-540C9079D0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3C0AFA85-0A29-4A11-8B07-767D937DCB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09" name="AutoShape 4">
          <a:extLst>
            <a:ext uri="{FF2B5EF4-FFF2-40B4-BE49-F238E27FC236}">
              <a16:creationId xmlns:a16="http://schemas.microsoft.com/office/drawing/2014/main" id="{D7A7DC6F-1DE4-4469-81D7-4B4F139B70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10" name="AutoShape 4">
          <a:extLst>
            <a:ext uri="{FF2B5EF4-FFF2-40B4-BE49-F238E27FC236}">
              <a16:creationId xmlns:a16="http://schemas.microsoft.com/office/drawing/2014/main" id="{F3A89E3A-7BF7-42C0-BBAC-43CD0C076F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8FDB823F-1E33-47C5-990C-DA664F7072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12" name="AutoShape 4">
          <a:extLst>
            <a:ext uri="{FF2B5EF4-FFF2-40B4-BE49-F238E27FC236}">
              <a16:creationId xmlns:a16="http://schemas.microsoft.com/office/drawing/2014/main" id="{8DF9354B-C433-4DCA-8E2D-557D4ABF7F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13" name="AutoShape 4">
          <a:extLst>
            <a:ext uri="{FF2B5EF4-FFF2-40B4-BE49-F238E27FC236}">
              <a16:creationId xmlns:a16="http://schemas.microsoft.com/office/drawing/2014/main" id="{BD02BF1C-E311-47B4-8009-26EC28A09A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6CC89E47-8D4D-45A3-86D0-583A4553A8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15" name="AutoShape 4">
          <a:extLst>
            <a:ext uri="{FF2B5EF4-FFF2-40B4-BE49-F238E27FC236}">
              <a16:creationId xmlns:a16="http://schemas.microsoft.com/office/drawing/2014/main" id="{792C9FF3-3CB6-4E8C-9C75-BF5F551C77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16" name="AutoShape 4">
          <a:extLst>
            <a:ext uri="{FF2B5EF4-FFF2-40B4-BE49-F238E27FC236}">
              <a16:creationId xmlns:a16="http://schemas.microsoft.com/office/drawing/2014/main" id="{C31C495E-DA26-4959-8DEF-8C6506463F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17" name="AutoShape 4">
          <a:extLst>
            <a:ext uri="{FF2B5EF4-FFF2-40B4-BE49-F238E27FC236}">
              <a16:creationId xmlns:a16="http://schemas.microsoft.com/office/drawing/2014/main" id="{ECC99622-5F89-4D7D-9955-60157B5AA8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18" name="AutoShape 4">
          <a:extLst>
            <a:ext uri="{FF2B5EF4-FFF2-40B4-BE49-F238E27FC236}">
              <a16:creationId xmlns:a16="http://schemas.microsoft.com/office/drawing/2014/main" id="{F615FA11-4594-4089-9CC3-AB58D8532A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19" name="AutoShape 4">
          <a:extLst>
            <a:ext uri="{FF2B5EF4-FFF2-40B4-BE49-F238E27FC236}">
              <a16:creationId xmlns:a16="http://schemas.microsoft.com/office/drawing/2014/main" id="{1F18B9F3-3907-420B-916F-75D9C7BEB4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20" name="AutoShape 4">
          <a:extLst>
            <a:ext uri="{FF2B5EF4-FFF2-40B4-BE49-F238E27FC236}">
              <a16:creationId xmlns:a16="http://schemas.microsoft.com/office/drawing/2014/main" id="{B192C285-FA9B-40BC-867F-C048F2F1B4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B649163B-7DD9-4167-A8EB-0D677C3B6D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22" name="AutoShape 4">
          <a:extLst>
            <a:ext uri="{FF2B5EF4-FFF2-40B4-BE49-F238E27FC236}">
              <a16:creationId xmlns:a16="http://schemas.microsoft.com/office/drawing/2014/main" id="{DB9482F4-DC16-4129-AE6C-C34671534E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23" name="AutoShape 4">
          <a:extLst>
            <a:ext uri="{FF2B5EF4-FFF2-40B4-BE49-F238E27FC236}">
              <a16:creationId xmlns:a16="http://schemas.microsoft.com/office/drawing/2014/main" id="{AF5AFE27-B170-41EC-A2C1-CB36580B4E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24" name="AutoShape 4">
          <a:extLst>
            <a:ext uri="{FF2B5EF4-FFF2-40B4-BE49-F238E27FC236}">
              <a16:creationId xmlns:a16="http://schemas.microsoft.com/office/drawing/2014/main" id="{037EF981-F97C-4993-8F57-16BEEB0937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25" name="AutoShape 4">
          <a:extLst>
            <a:ext uri="{FF2B5EF4-FFF2-40B4-BE49-F238E27FC236}">
              <a16:creationId xmlns:a16="http://schemas.microsoft.com/office/drawing/2014/main" id="{D28ED83B-8624-439B-B471-634F934F3E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26" name="AutoShape 4">
          <a:extLst>
            <a:ext uri="{FF2B5EF4-FFF2-40B4-BE49-F238E27FC236}">
              <a16:creationId xmlns:a16="http://schemas.microsoft.com/office/drawing/2014/main" id="{848D0439-EBDF-4BFE-9ADD-8C640C0283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27" name="AutoShape 4">
          <a:extLst>
            <a:ext uri="{FF2B5EF4-FFF2-40B4-BE49-F238E27FC236}">
              <a16:creationId xmlns:a16="http://schemas.microsoft.com/office/drawing/2014/main" id="{DBB3F7FB-FEEF-4230-B041-AFDFA60836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6A63E4DE-2F64-4A28-8C7A-44512EDA42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29" name="AutoShape 4">
          <a:extLst>
            <a:ext uri="{FF2B5EF4-FFF2-40B4-BE49-F238E27FC236}">
              <a16:creationId xmlns:a16="http://schemas.microsoft.com/office/drawing/2014/main" id="{5B25892B-EC66-4B81-B578-7E8FB2D820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30" name="AutoShape 4">
          <a:extLst>
            <a:ext uri="{FF2B5EF4-FFF2-40B4-BE49-F238E27FC236}">
              <a16:creationId xmlns:a16="http://schemas.microsoft.com/office/drawing/2014/main" id="{21EE0F4F-1B98-4D6D-9CAD-8DD7F2C4D9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31" name="AutoShape 4">
          <a:extLst>
            <a:ext uri="{FF2B5EF4-FFF2-40B4-BE49-F238E27FC236}">
              <a16:creationId xmlns:a16="http://schemas.microsoft.com/office/drawing/2014/main" id="{F7F5CC27-8AE3-4064-B5D3-475BC6E50C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32" name="AutoShape 4">
          <a:extLst>
            <a:ext uri="{FF2B5EF4-FFF2-40B4-BE49-F238E27FC236}">
              <a16:creationId xmlns:a16="http://schemas.microsoft.com/office/drawing/2014/main" id="{8B5DA6D6-0DD8-42B4-83D1-0AC401E0EC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33" name="AutoShape 4">
          <a:extLst>
            <a:ext uri="{FF2B5EF4-FFF2-40B4-BE49-F238E27FC236}">
              <a16:creationId xmlns:a16="http://schemas.microsoft.com/office/drawing/2014/main" id="{E032F61C-20AC-4E71-ADFB-9595D847AF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34" name="AutoShape 4">
          <a:extLst>
            <a:ext uri="{FF2B5EF4-FFF2-40B4-BE49-F238E27FC236}">
              <a16:creationId xmlns:a16="http://schemas.microsoft.com/office/drawing/2014/main" id="{549F8D3E-D552-49DC-8F2D-B5089DB5FC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F9E880F0-0BFA-49F8-9610-3A7653D172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36" name="AutoShape 4">
          <a:extLst>
            <a:ext uri="{FF2B5EF4-FFF2-40B4-BE49-F238E27FC236}">
              <a16:creationId xmlns:a16="http://schemas.microsoft.com/office/drawing/2014/main" id="{F4868AFD-E550-4A18-9A7E-ADA5360126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37" name="AutoShape 4">
          <a:extLst>
            <a:ext uri="{FF2B5EF4-FFF2-40B4-BE49-F238E27FC236}">
              <a16:creationId xmlns:a16="http://schemas.microsoft.com/office/drawing/2014/main" id="{E7F1329B-AF45-47F9-A888-4EA3BD5E12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38" name="AutoShape 4">
          <a:extLst>
            <a:ext uri="{FF2B5EF4-FFF2-40B4-BE49-F238E27FC236}">
              <a16:creationId xmlns:a16="http://schemas.microsoft.com/office/drawing/2014/main" id="{D5655160-150F-452B-AB27-EE196B25A1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D5FBD0B0-2961-431F-AA2F-8B58C6C311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40" name="AutoShape 4">
          <a:extLst>
            <a:ext uri="{FF2B5EF4-FFF2-40B4-BE49-F238E27FC236}">
              <a16:creationId xmlns:a16="http://schemas.microsoft.com/office/drawing/2014/main" id="{25791674-C19B-4A80-933A-1AEE2DD051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41" name="AutoShape 4">
          <a:extLst>
            <a:ext uri="{FF2B5EF4-FFF2-40B4-BE49-F238E27FC236}">
              <a16:creationId xmlns:a16="http://schemas.microsoft.com/office/drawing/2014/main" id="{B39725A5-C7E6-497C-97F4-D774430B8F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42" name="AutoShape 4">
          <a:extLst>
            <a:ext uri="{FF2B5EF4-FFF2-40B4-BE49-F238E27FC236}">
              <a16:creationId xmlns:a16="http://schemas.microsoft.com/office/drawing/2014/main" id="{562AADF3-8FBC-49BE-95F2-B1EA0E4928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43" name="AutoShape 4">
          <a:extLst>
            <a:ext uri="{FF2B5EF4-FFF2-40B4-BE49-F238E27FC236}">
              <a16:creationId xmlns:a16="http://schemas.microsoft.com/office/drawing/2014/main" id="{76BC18F8-933B-4571-8F99-B21B71D1BA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44" name="AutoShape 4">
          <a:extLst>
            <a:ext uri="{FF2B5EF4-FFF2-40B4-BE49-F238E27FC236}">
              <a16:creationId xmlns:a16="http://schemas.microsoft.com/office/drawing/2014/main" id="{A20C49F4-C723-4ADE-9F4D-37DAC5CDB3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45" name="AutoShape 4">
          <a:extLst>
            <a:ext uri="{FF2B5EF4-FFF2-40B4-BE49-F238E27FC236}">
              <a16:creationId xmlns:a16="http://schemas.microsoft.com/office/drawing/2014/main" id="{B1CD9A03-E696-4F0E-B99E-6F5520AE2E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D2E98A51-A2ED-4489-9830-EFBFA5707C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47" name="AutoShape 4">
          <a:extLst>
            <a:ext uri="{FF2B5EF4-FFF2-40B4-BE49-F238E27FC236}">
              <a16:creationId xmlns:a16="http://schemas.microsoft.com/office/drawing/2014/main" id="{96B88852-6735-4416-ADD2-94C8A715B7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48" name="AutoShape 4">
          <a:extLst>
            <a:ext uri="{FF2B5EF4-FFF2-40B4-BE49-F238E27FC236}">
              <a16:creationId xmlns:a16="http://schemas.microsoft.com/office/drawing/2014/main" id="{7BFC59A1-7F89-4990-BB27-342E8B9F0A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49" name="AutoShape 4">
          <a:extLst>
            <a:ext uri="{FF2B5EF4-FFF2-40B4-BE49-F238E27FC236}">
              <a16:creationId xmlns:a16="http://schemas.microsoft.com/office/drawing/2014/main" id="{5997E6FF-AC40-44C6-957F-F53766B495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50" name="AutoShape 4">
          <a:extLst>
            <a:ext uri="{FF2B5EF4-FFF2-40B4-BE49-F238E27FC236}">
              <a16:creationId xmlns:a16="http://schemas.microsoft.com/office/drawing/2014/main" id="{F6AD2D65-379B-428F-8344-9093ABC33B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51" name="AutoShape 4">
          <a:extLst>
            <a:ext uri="{FF2B5EF4-FFF2-40B4-BE49-F238E27FC236}">
              <a16:creationId xmlns:a16="http://schemas.microsoft.com/office/drawing/2014/main" id="{593D6B9F-2AC8-4B18-8F23-0D1510A6E6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52" name="AutoShape 4">
          <a:extLst>
            <a:ext uri="{FF2B5EF4-FFF2-40B4-BE49-F238E27FC236}">
              <a16:creationId xmlns:a16="http://schemas.microsoft.com/office/drawing/2014/main" id="{4D467CF4-2F06-4A90-9A52-3275BF8FAB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3B0B5C0E-F161-474B-B171-6EB19156A73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54" name="AutoShape 4">
          <a:extLst>
            <a:ext uri="{FF2B5EF4-FFF2-40B4-BE49-F238E27FC236}">
              <a16:creationId xmlns:a16="http://schemas.microsoft.com/office/drawing/2014/main" id="{C0F975EB-E2AE-47BC-9B5F-D0656E861F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55" name="AutoShape 4">
          <a:extLst>
            <a:ext uri="{FF2B5EF4-FFF2-40B4-BE49-F238E27FC236}">
              <a16:creationId xmlns:a16="http://schemas.microsoft.com/office/drawing/2014/main" id="{A3B5253D-83DC-45E9-822F-51FD21F2CE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56" name="AutoShape 4">
          <a:extLst>
            <a:ext uri="{FF2B5EF4-FFF2-40B4-BE49-F238E27FC236}">
              <a16:creationId xmlns:a16="http://schemas.microsoft.com/office/drawing/2014/main" id="{627AC863-EFBB-4524-B197-128D9CF57D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57" name="AutoShape 4">
          <a:extLst>
            <a:ext uri="{FF2B5EF4-FFF2-40B4-BE49-F238E27FC236}">
              <a16:creationId xmlns:a16="http://schemas.microsoft.com/office/drawing/2014/main" id="{9D919DB7-AC73-4763-A48F-C9B36EE0A7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58" name="AutoShape 4">
          <a:extLst>
            <a:ext uri="{FF2B5EF4-FFF2-40B4-BE49-F238E27FC236}">
              <a16:creationId xmlns:a16="http://schemas.microsoft.com/office/drawing/2014/main" id="{F4FDB4A6-1230-436F-9BA4-E376CB022D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59" name="AutoShape 4">
          <a:extLst>
            <a:ext uri="{FF2B5EF4-FFF2-40B4-BE49-F238E27FC236}">
              <a16:creationId xmlns:a16="http://schemas.microsoft.com/office/drawing/2014/main" id="{52472ED3-07F2-41B4-B1A0-BF92783696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BEB8CC40-D654-4933-B620-7EF1374AA1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61" name="AutoShape 4">
          <a:extLst>
            <a:ext uri="{FF2B5EF4-FFF2-40B4-BE49-F238E27FC236}">
              <a16:creationId xmlns:a16="http://schemas.microsoft.com/office/drawing/2014/main" id="{8A948FF6-6B4F-4ED6-BB1C-449023CB3A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62" name="AutoShape 4">
          <a:extLst>
            <a:ext uri="{FF2B5EF4-FFF2-40B4-BE49-F238E27FC236}">
              <a16:creationId xmlns:a16="http://schemas.microsoft.com/office/drawing/2014/main" id="{2D16E243-ECB4-41CC-97E5-AA9CDBCDE3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63" name="AutoShape 4">
          <a:extLst>
            <a:ext uri="{FF2B5EF4-FFF2-40B4-BE49-F238E27FC236}">
              <a16:creationId xmlns:a16="http://schemas.microsoft.com/office/drawing/2014/main" id="{71C700A7-31BC-4D5B-8709-CDFD6CF60E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64" name="AutoShape 4">
          <a:extLst>
            <a:ext uri="{FF2B5EF4-FFF2-40B4-BE49-F238E27FC236}">
              <a16:creationId xmlns:a16="http://schemas.microsoft.com/office/drawing/2014/main" id="{D4C048C0-C6D7-47F9-882F-E670684C13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65" name="AutoShape 4">
          <a:extLst>
            <a:ext uri="{FF2B5EF4-FFF2-40B4-BE49-F238E27FC236}">
              <a16:creationId xmlns:a16="http://schemas.microsoft.com/office/drawing/2014/main" id="{361A7122-141D-460A-AB77-75DFBD10DD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0</xdr:rowOff>
    </xdr:to>
    <xdr:sp macro="" textlink="">
      <xdr:nvSpPr>
        <xdr:cNvPr id="866" name="AutoShape 4">
          <a:extLst>
            <a:ext uri="{FF2B5EF4-FFF2-40B4-BE49-F238E27FC236}">
              <a16:creationId xmlns:a16="http://schemas.microsoft.com/office/drawing/2014/main" id="{16A4BC8E-CBA3-43FD-BBD5-61E12A6E7F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C0705BF3-A0AA-4A5D-A06C-9FC944B1FD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68" name="AutoShape 4">
          <a:extLst>
            <a:ext uri="{FF2B5EF4-FFF2-40B4-BE49-F238E27FC236}">
              <a16:creationId xmlns:a16="http://schemas.microsoft.com/office/drawing/2014/main" id="{8C37EF66-3204-4792-8EC3-0CBFCB562C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69" name="AutoShape 4">
          <a:extLst>
            <a:ext uri="{FF2B5EF4-FFF2-40B4-BE49-F238E27FC236}">
              <a16:creationId xmlns:a16="http://schemas.microsoft.com/office/drawing/2014/main" id="{A6EB3942-D8D5-437E-A13E-173EFC4F9E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70" name="AutoShape 4">
          <a:extLst>
            <a:ext uri="{FF2B5EF4-FFF2-40B4-BE49-F238E27FC236}">
              <a16:creationId xmlns:a16="http://schemas.microsoft.com/office/drawing/2014/main" id="{2A469592-2E5B-4016-8DFF-FBD7CCA721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71" name="AutoShape 4">
          <a:extLst>
            <a:ext uri="{FF2B5EF4-FFF2-40B4-BE49-F238E27FC236}">
              <a16:creationId xmlns:a16="http://schemas.microsoft.com/office/drawing/2014/main" id="{374474A5-E8AE-4BAC-BAE4-4891EDDE98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72" name="AutoShape 4">
          <a:extLst>
            <a:ext uri="{FF2B5EF4-FFF2-40B4-BE49-F238E27FC236}">
              <a16:creationId xmlns:a16="http://schemas.microsoft.com/office/drawing/2014/main" id="{C8B91713-3504-4161-AF93-80F82C6C65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73" name="AutoShape 4">
          <a:extLst>
            <a:ext uri="{FF2B5EF4-FFF2-40B4-BE49-F238E27FC236}">
              <a16:creationId xmlns:a16="http://schemas.microsoft.com/office/drawing/2014/main" id="{AD74BD20-4FAB-47A3-8E81-551C467C15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C3D38F2B-362E-40AC-95EC-05D08FBBA4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75" name="AutoShape 4">
          <a:extLst>
            <a:ext uri="{FF2B5EF4-FFF2-40B4-BE49-F238E27FC236}">
              <a16:creationId xmlns:a16="http://schemas.microsoft.com/office/drawing/2014/main" id="{607F28A4-6A2C-44DF-ADBE-6D349BC5BE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76" name="AutoShape 4">
          <a:extLst>
            <a:ext uri="{FF2B5EF4-FFF2-40B4-BE49-F238E27FC236}">
              <a16:creationId xmlns:a16="http://schemas.microsoft.com/office/drawing/2014/main" id="{CEE561C9-1B60-421F-9FF9-E19ECD194F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77" name="AutoShape 4">
          <a:extLst>
            <a:ext uri="{FF2B5EF4-FFF2-40B4-BE49-F238E27FC236}">
              <a16:creationId xmlns:a16="http://schemas.microsoft.com/office/drawing/2014/main" id="{4EAA7E94-6899-4283-9067-4268FBE516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78" name="AutoShape 4">
          <a:extLst>
            <a:ext uri="{FF2B5EF4-FFF2-40B4-BE49-F238E27FC236}">
              <a16:creationId xmlns:a16="http://schemas.microsoft.com/office/drawing/2014/main" id="{C4FD3D49-30B1-43C4-93E1-F095E79B2A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79" name="AutoShape 4">
          <a:extLst>
            <a:ext uri="{FF2B5EF4-FFF2-40B4-BE49-F238E27FC236}">
              <a16:creationId xmlns:a16="http://schemas.microsoft.com/office/drawing/2014/main" id="{A4A43E9E-F23B-46CD-A815-FFC8E0350A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80" name="AutoShape 4">
          <a:extLst>
            <a:ext uri="{FF2B5EF4-FFF2-40B4-BE49-F238E27FC236}">
              <a16:creationId xmlns:a16="http://schemas.microsoft.com/office/drawing/2014/main" id="{C780AFB2-1242-4447-B809-B08DA35326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E6679D4D-B28D-4DFD-BBA6-B0440F1922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82" name="AutoShape 4">
          <a:extLst>
            <a:ext uri="{FF2B5EF4-FFF2-40B4-BE49-F238E27FC236}">
              <a16:creationId xmlns:a16="http://schemas.microsoft.com/office/drawing/2014/main" id="{887795A7-F997-4861-8EAB-A4130620B0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0</xdr:rowOff>
    </xdr:to>
    <xdr:sp macro="" textlink="">
      <xdr:nvSpPr>
        <xdr:cNvPr id="883" name="AutoShape 4">
          <a:extLst>
            <a:ext uri="{FF2B5EF4-FFF2-40B4-BE49-F238E27FC236}">
              <a16:creationId xmlns:a16="http://schemas.microsoft.com/office/drawing/2014/main" id="{DC0482C1-88EC-400B-B29A-8DCA787CBE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667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884" name="AutoShape 4">
          <a:extLst>
            <a:ext uri="{FF2B5EF4-FFF2-40B4-BE49-F238E27FC236}">
              <a16:creationId xmlns:a16="http://schemas.microsoft.com/office/drawing/2014/main" id="{A5B5B58C-9F3F-40F0-B8CA-0BF4EDAA26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885" name="AutoShape 4">
          <a:extLst>
            <a:ext uri="{FF2B5EF4-FFF2-40B4-BE49-F238E27FC236}">
              <a16:creationId xmlns:a16="http://schemas.microsoft.com/office/drawing/2014/main" id="{0CD258E5-8BDE-474F-98E6-A684861B57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886" name="AutoShape 4">
          <a:extLst>
            <a:ext uri="{FF2B5EF4-FFF2-40B4-BE49-F238E27FC236}">
              <a16:creationId xmlns:a16="http://schemas.microsoft.com/office/drawing/2014/main" id="{4BC8C3E9-2FE8-4F1A-B754-6D211F95C7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887" name="AutoShape 4">
          <a:extLst>
            <a:ext uri="{FF2B5EF4-FFF2-40B4-BE49-F238E27FC236}">
              <a16:creationId xmlns:a16="http://schemas.microsoft.com/office/drawing/2014/main" id="{28DCF629-2D3B-4D50-8A4C-44DF1686AB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B48F199C-2EB2-4995-B86D-6A05D2A41A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889" name="AutoShape 4">
          <a:extLst>
            <a:ext uri="{FF2B5EF4-FFF2-40B4-BE49-F238E27FC236}">
              <a16:creationId xmlns:a16="http://schemas.microsoft.com/office/drawing/2014/main" id="{BE91772B-ED9A-49A7-AD65-0A46828A3F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890" name="AutoShape 4">
          <a:extLst>
            <a:ext uri="{FF2B5EF4-FFF2-40B4-BE49-F238E27FC236}">
              <a16:creationId xmlns:a16="http://schemas.microsoft.com/office/drawing/2014/main" id="{755934BB-FDA6-4326-B61F-CD321A1A73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891" name="AutoShape 4">
          <a:extLst>
            <a:ext uri="{FF2B5EF4-FFF2-40B4-BE49-F238E27FC236}">
              <a16:creationId xmlns:a16="http://schemas.microsoft.com/office/drawing/2014/main" id="{5EC57A53-9AA5-48C5-94A5-8D425B14EE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892" name="AutoShape 4">
          <a:extLst>
            <a:ext uri="{FF2B5EF4-FFF2-40B4-BE49-F238E27FC236}">
              <a16:creationId xmlns:a16="http://schemas.microsoft.com/office/drawing/2014/main" id="{D4E6DA35-4F14-4A61-8F90-AA9665D6A3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893" name="AutoShape 4">
          <a:extLst>
            <a:ext uri="{FF2B5EF4-FFF2-40B4-BE49-F238E27FC236}">
              <a16:creationId xmlns:a16="http://schemas.microsoft.com/office/drawing/2014/main" id="{DC185AE3-1D6D-4512-B2B7-CFD0C6ADA2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894" name="AutoShape 4">
          <a:extLst>
            <a:ext uri="{FF2B5EF4-FFF2-40B4-BE49-F238E27FC236}">
              <a16:creationId xmlns:a16="http://schemas.microsoft.com/office/drawing/2014/main" id="{2C9ACA36-4982-40A1-BD4B-B7A31CB6DC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23B10619-50D6-4199-9D53-0DA1CD7BE0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896" name="AutoShape 4">
          <a:extLst>
            <a:ext uri="{FF2B5EF4-FFF2-40B4-BE49-F238E27FC236}">
              <a16:creationId xmlns:a16="http://schemas.microsoft.com/office/drawing/2014/main" id="{56A21452-E2F2-4157-B6D6-982667DC1B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897" name="AutoShape 4">
          <a:extLst>
            <a:ext uri="{FF2B5EF4-FFF2-40B4-BE49-F238E27FC236}">
              <a16:creationId xmlns:a16="http://schemas.microsoft.com/office/drawing/2014/main" id="{82C9EA72-B453-4D6E-B136-3413F9F0C1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898" name="AutoShape 4">
          <a:extLst>
            <a:ext uri="{FF2B5EF4-FFF2-40B4-BE49-F238E27FC236}">
              <a16:creationId xmlns:a16="http://schemas.microsoft.com/office/drawing/2014/main" id="{81A52C9E-800A-49CB-9143-58B03C8176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899" name="AutoShape 4">
          <a:extLst>
            <a:ext uri="{FF2B5EF4-FFF2-40B4-BE49-F238E27FC236}">
              <a16:creationId xmlns:a16="http://schemas.microsoft.com/office/drawing/2014/main" id="{5C72FA87-454C-47BB-889C-FB2A990AC6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00" name="AutoShape 4">
          <a:extLst>
            <a:ext uri="{FF2B5EF4-FFF2-40B4-BE49-F238E27FC236}">
              <a16:creationId xmlns:a16="http://schemas.microsoft.com/office/drawing/2014/main" id="{76EBCF7D-DB7B-4F4F-B5F5-2D23A980CA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01" name="AutoShape 4">
          <a:extLst>
            <a:ext uri="{FF2B5EF4-FFF2-40B4-BE49-F238E27FC236}">
              <a16:creationId xmlns:a16="http://schemas.microsoft.com/office/drawing/2014/main" id="{342E326B-4D9C-41FD-9DD5-71E9BF093A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B8F98528-7FE7-480F-8410-5C8EDA7A73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03" name="AutoShape 4">
          <a:extLst>
            <a:ext uri="{FF2B5EF4-FFF2-40B4-BE49-F238E27FC236}">
              <a16:creationId xmlns:a16="http://schemas.microsoft.com/office/drawing/2014/main" id="{6BF4B21A-D322-4165-9F6C-957BBB2E98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04" name="AutoShape 4">
          <a:extLst>
            <a:ext uri="{FF2B5EF4-FFF2-40B4-BE49-F238E27FC236}">
              <a16:creationId xmlns:a16="http://schemas.microsoft.com/office/drawing/2014/main" id="{DEEFDAEA-FDDB-4A38-BAF3-D9CE59D30F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905" name="AutoShape 4">
          <a:extLst>
            <a:ext uri="{FF2B5EF4-FFF2-40B4-BE49-F238E27FC236}">
              <a16:creationId xmlns:a16="http://schemas.microsoft.com/office/drawing/2014/main" id="{C9A69B8D-6780-4CDC-B8DE-6493EFB8CA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906" name="AutoShape 4">
          <a:extLst>
            <a:ext uri="{FF2B5EF4-FFF2-40B4-BE49-F238E27FC236}">
              <a16:creationId xmlns:a16="http://schemas.microsoft.com/office/drawing/2014/main" id="{BC651641-5512-40B4-985A-D6884E5A9D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907" name="AutoShape 4">
          <a:extLst>
            <a:ext uri="{FF2B5EF4-FFF2-40B4-BE49-F238E27FC236}">
              <a16:creationId xmlns:a16="http://schemas.microsoft.com/office/drawing/2014/main" id="{33BBB290-DB77-48A1-994E-AB2A03CA93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21</xdr:row>
      <xdr:rowOff>57150</xdr:rowOff>
    </xdr:to>
    <xdr:sp macro="" textlink="">
      <xdr:nvSpPr>
        <xdr:cNvPr id="908" name="AutoShape 4">
          <a:extLst>
            <a:ext uri="{FF2B5EF4-FFF2-40B4-BE49-F238E27FC236}">
              <a16:creationId xmlns:a16="http://schemas.microsoft.com/office/drawing/2014/main" id="{2BBA4EDC-21D6-471F-A786-FA1A6E8998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56959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2DA62E41-584C-4D9F-BADD-9FC32C373C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910" name="AutoShape 4">
          <a:extLst>
            <a:ext uri="{FF2B5EF4-FFF2-40B4-BE49-F238E27FC236}">
              <a16:creationId xmlns:a16="http://schemas.microsoft.com/office/drawing/2014/main" id="{5FE68E25-FC46-474E-A0FB-E4F742F95D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911" name="AutoShape 4">
          <a:extLst>
            <a:ext uri="{FF2B5EF4-FFF2-40B4-BE49-F238E27FC236}">
              <a16:creationId xmlns:a16="http://schemas.microsoft.com/office/drawing/2014/main" id="{FAA69E9E-9D08-46D6-B59A-CC517C600A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912" name="AutoShape 4">
          <a:extLst>
            <a:ext uri="{FF2B5EF4-FFF2-40B4-BE49-F238E27FC236}">
              <a16:creationId xmlns:a16="http://schemas.microsoft.com/office/drawing/2014/main" id="{F94B9043-5DE9-4F06-9303-8AA21DB5C6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913" name="AutoShape 4">
          <a:extLst>
            <a:ext uri="{FF2B5EF4-FFF2-40B4-BE49-F238E27FC236}">
              <a16:creationId xmlns:a16="http://schemas.microsoft.com/office/drawing/2014/main" id="{0B1B0E01-D6C2-4BDC-8830-758DD34A30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21</xdr:row>
      <xdr:rowOff>47625</xdr:rowOff>
    </xdr:to>
    <xdr:sp macro="" textlink="">
      <xdr:nvSpPr>
        <xdr:cNvPr id="914" name="AutoShape 4">
          <a:extLst>
            <a:ext uri="{FF2B5EF4-FFF2-40B4-BE49-F238E27FC236}">
              <a16:creationId xmlns:a16="http://schemas.microsoft.com/office/drawing/2014/main" id="{5E5E0F7F-AC62-409F-AD68-33049F20F8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56864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915" name="AutoShape 4">
          <a:extLst>
            <a:ext uri="{FF2B5EF4-FFF2-40B4-BE49-F238E27FC236}">
              <a16:creationId xmlns:a16="http://schemas.microsoft.com/office/drawing/2014/main" id="{DF84B47B-8CAC-4A03-98C9-5DACD3F499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39623E83-8BA2-4F37-9371-4E7567446F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917" name="AutoShape 4">
          <a:extLst>
            <a:ext uri="{FF2B5EF4-FFF2-40B4-BE49-F238E27FC236}">
              <a16:creationId xmlns:a16="http://schemas.microsoft.com/office/drawing/2014/main" id="{DE2D1E69-B64E-44C2-91A2-6C5E24A770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24</xdr:row>
      <xdr:rowOff>0</xdr:rowOff>
    </xdr:to>
    <xdr:sp macro="" textlink="">
      <xdr:nvSpPr>
        <xdr:cNvPr id="918" name="AutoShape 4">
          <a:extLst>
            <a:ext uri="{FF2B5EF4-FFF2-40B4-BE49-F238E27FC236}">
              <a16:creationId xmlns:a16="http://schemas.microsoft.com/office/drawing/2014/main" id="{70580653-F367-4B7C-9A4F-36C5575646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4103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19" name="AutoShape 4">
          <a:extLst>
            <a:ext uri="{FF2B5EF4-FFF2-40B4-BE49-F238E27FC236}">
              <a16:creationId xmlns:a16="http://schemas.microsoft.com/office/drawing/2014/main" id="{BE78EE2A-A811-4EE4-A628-6C6D316AC1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20" name="AutoShape 4">
          <a:extLst>
            <a:ext uri="{FF2B5EF4-FFF2-40B4-BE49-F238E27FC236}">
              <a16:creationId xmlns:a16="http://schemas.microsoft.com/office/drawing/2014/main" id="{1EEF367A-93D4-4CA1-AB1F-BFC93B8BCE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21" name="AutoShape 4">
          <a:extLst>
            <a:ext uri="{FF2B5EF4-FFF2-40B4-BE49-F238E27FC236}">
              <a16:creationId xmlns:a16="http://schemas.microsoft.com/office/drawing/2014/main" id="{1C1174B2-86F0-446B-8734-414A68520B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22" name="AutoShape 4">
          <a:extLst>
            <a:ext uri="{FF2B5EF4-FFF2-40B4-BE49-F238E27FC236}">
              <a16:creationId xmlns:a16="http://schemas.microsoft.com/office/drawing/2014/main" id="{B52DEEB3-371E-43D4-BC55-6B191972EA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67F3BFE9-747E-46CF-80BE-F2CAC5EB0A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24" name="AutoShape 4">
          <a:extLst>
            <a:ext uri="{FF2B5EF4-FFF2-40B4-BE49-F238E27FC236}">
              <a16:creationId xmlns:a16="http://schemas.microsoft.com/office/drawing/2014/main" id="{C757B18F-2A5B-40AE-85A1-B6B7014F2C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25" name="AutoShape 4">
          <a:extLst>
            <a:ext uri="{FF2B5EF4-FFF2-40B4-BE49-F238E27FC236}">
              <a16:creationId xmlns:a16="http://schemas.microsoft.com/office/drawing/2014/main" id="{4DC40C23-B738-4901-AEAC-6483CC19DF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26" name="AutoShape 4">
          <a:extLst>
            <a:ext uri="{FF2B5EF4-FFF2-40B4-BE49-F238E27FC236}">
              <a16:creationId xmlns:a16="http://schemas.microsoft.com/office/drawing/2014/main" id="{5B842CE6-6D6F-4737-B4E8-68396FA66A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27" name="AutoShape 4">
          <a:extLst>
            <a:ext uri="{FF2B5EF4-FFF2-40B4-BE49-F238E27FC236}">
              <a16:creationId xmlns:a16="http://schemas.microsoft.com/office/drawing/2014/main" id="{20530F50-9EB1-47E1-BE68-F0F0B3E8CD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28" name="AutoShape 4">
          <a:extLst>
            <a:ext uri="{FF2B5EF4-FFF2-40B4-BE49-F238E27FC236}">
              <a16:creationId xmlns:a16="http://schemas.microsoft.com/office/drawing/2014/main" id="{06B4D6E3-FAA6-4D4C-AD0A-979ECCF1A1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29" name="AutoShape 4">
          <a:extLst>
            <a:ext uri="{FF2B5EF4-FFF2-40B4-BE49-F238E27FC236}">
              <a16:creationId xmlns:a16="http://schemas.microsoft.com/office/drawing/2014/main" id="{D9D8CD5D-7315-4E3B-829E-B7630F459B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32AE2178-8430-4F36-B1AA-0378C7FC37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31" name="AutoShape 4">
          <a:extLst>
            <a:ext uri="{FF2B5EF4-FFF2-40B4-BE49-F238E27FC236}">
              <a16:creationId xmlns:a16="http://schemas.microsoft.com/office/drawing/2014/main" id="{BBAD97B3-0C70-45AA-A856-716084B465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32" name="AutoShape 4">
          <a:extLst>
            <a:ext uri="{FF2B5EF4-FFF2-40B4-BE49-F238E27FC236}">
              <a16:creationId xmlns:a16="http://schemas.microsoft.com/office/drawing/2014/main" id="{BF7E0813-9B91-4794-911C-10A57DD67F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33" name="AutoShape 4">
          <a:extLst>
            <a:ext uri="{FF2B5EF4-FFF2-40B4-BE49-F238E27FC236}">
              <a16:creationId xmlns:a16="http://schemas.microsoft.com/office/drawing/2014/main" id="{A71D4F2C-49CF-4FA6-984C-ED3BCFE6F4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34" name="AutoShape 4">
          <a:extLst>
            <a:ext uri="{FF2B5EF4-FFF2-40B4-BE49-F238E27FC236}">
              <a16:creationId xmlns:a16="http://schemas.microsoft.com/office/drawing/2014/main" id="{F10D4963-D8CE-490A-A5B6-65B0B571F7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35" name="AutoShape 4">
          <a:extLst>
            <a:ext uri="{FF2B5EF4-FFF2-40B4-BE49-F238E27FC236}">
              <a16:creationId xmlns:a16="http://schemas.microsoft.com/office/drawing/2014/main" id="{FDC47850-F233-411F-AD0D-E072B704D2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36" name="AutoShape 4">
          <a:extLst>
            <a:ext uri="{FF2B5EF4-FFF2-40B4-BE49-F238E27FC236}">
              <a16:creationId xmlns:a16="http://schemas.microsoft.com/office/drawing/2014/main" id="{4D66ADBB-0AD3-43BE-8175-C6C91CD2C4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C584F863-A12F-451F-BDD6-608C17618F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38" name="AutoShape 4">
          <a:extLst>
            <a:ext uri="{FF2B5EF4-FFF2-40B4-BE49-F238E27FC236}">
              <a16:creationId xmlns:a16="http://schemas.microsoft.com/office/drawing/2014/main" id="{0171B4A5-3DA2-41D4-B148-6C0B926FCB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39" name="AutoShape 4">
          <a:extLst>
            <a:ext uri="{FF2B5EF4-FFF2-40B4-BE49-F238E27FC236}">
              <a16:creationId xmlns:a16="http://schemas.microsoft.com/office/drawing/2014/main" id="{0166B75C-274C-452B-95D4-A0D0538B52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940" name="AutoShape 4">
          <a:extLst>
            <a:ext uri="{FF2B5EF4-FFF2-40B4-BE49-F238E27FC236}">
              <a16:creationId xmlns:a16="http://schemas.microsoft.com/office/drawing/2014/main" id="{A7D8FFC6-13FF-4CC0-A453-776711025A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941" name="AutoShape 4">
          <a:extLst>
            <a:ext uri="{FF2B5EF4-FFF2-40B4-BE49-F238E27FC236}">
              <a16:creationId xmlns:a16="http://schemas.microsoft.com/office/drawing/2014/main" id="{6260920E-8C03-439E-8948-5DC3834A38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942" name="AutoShape 4">
          <a:extLst>
            <a:ext uri="{FF2B5EF4-FFF2-40B4-BE49-F238E27FC236}">
              <a16:creationId xmlns:a16="http://schemas.microsoft.com/office/drawing/2014/main" id="{38A1BD93-2316-4C33-9922-A6C37B844F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943" name="AutoShape 4">
          <a:extLst>
            <a:ext uri="{FF2B5EF4-FFF2-40B4-BE49-F238E27FC236}">
              <a16:creationId xmlns:a16="http://schemas.microsoft.com/office/drawing/2014/main" id="{90C42CD3-F9B8-4195-9440-A7B299CCE5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DBA27715-A59D-4F70-B7A3-81D68F273D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945" name="AutoShape 4">
          <a:extLst>
            <a:ext uri="{FF2B5EF4-FFF2-40B4-BE49-F238E27FC236}">
              <a16:creationId xmlns:a16="http://schemas.microsoft.com/office/drawing/2014/main" id="{F7DD0DBD-CE8E-4634-B363-9045FA1D41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946" name="AutoShape 4">
          <a:extLst>
            <a:ext uri="{FF2B5EF4-FFF2-40B4-BE49-F238E27FC236}">
              <a16:creationId xmlns:a16="http://schemas.microsoft.com/office/drawing/2014/main" id="{E04FDE7B-0CFD-4FCB-9890-0D548F795F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47" name="AutoShape 4">
          <a:extLst>
            <a:ext uri="{FF2B5EF4-FFF2-40B4-BE49-F238E27FC236}">
              <a16:creationId xmlns:a16="http://schemas.microsoft.com/office/drawing/2014/main" id="{F3086905-76B1-45A3-ACF3-1553EA1C43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48" name="AutoShape 4">
          <a:extLst>
            <a:ext uri="{FF2B5EF4-FFF2-40B4-BE49-F238E27FC236}">
              <a16:creationId xmlns:a16="http://schemas.microsoft.com/office/drawing/2014/main" id="{846B5127-610F-4B2F-974B-2B61E50D80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49" name="AutoShape 4">
          <a:extLst>
            <a:ext uri="{FF2B5EF4-FFF2-40B4-BE49-F238E27FC236}">
              <a16:creationId xmlns:a16="http://schemas.microsoft.com/office/drawing/2014/main" id="{CBC544CE-C66A-4B81-ADD8-1FCD9D94E9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50" name="AutoShape 4">
          <a:extLst>
            <a:ext uri="{FF2B5EF4-FFF2-40B4-BE49-F238E27FC236}">
              <a16:creationId xmlns:a16="http://schemas.microsoft.com/office/drawing/2014/main" id="{CE77B6A2-3264-42ED-95DC-980B368676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676E005D-C7FA-4086-B714-7C36200054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52" name="AutoShape 4">
          <a:extLst>
            <a:ext uri="{FF2B5EF4-FFF2-40B4-BE49-F238E27FC236}">
              <a16:creationId xmlns:a16="http://schemas.microsoft.com/office/drawing/2014/main" id="{0F5695BE-2AC5-4881-96AE-11266BCB08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53" name="AutoShape 4">
          <a:extLst>
            <a:ext uri="{FF2B5EF4-FFF2-40B4-BE49-F238E27FC236}">
              <a16:creationId xmlns:a16="http://schemas.microsoft.com/office/drawing/2014/main" id="{7A95ADCD-33AC-4518-860D-3A1C94080F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54" name="AutoShape 4">
          <a:extLst>
            <a:ext uri="{FF2B5EF4-FFF2-40B4-BE49-F238E27FC236}">
              <a16:creationId xmlns:a16="http://schemas.microsoft.com/office/drawing/2014/main" id="{010A661C-C105-4542-95DB-E23ECF8455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55" name="AutoShape 4">
          <a:extLst>
            <a:ext uri="{FF2B5EF4-FFF2-40B4-BE49-F238E27FC236}">
              <a16:creationId xmlns:a16="http://schemas.microsoft.com/office/drawing/2014/main" id="{9FC2F006-7180-4DC9-A520-E037AC1CE0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56" name="AutoShape 4">
          <a:extLst>
            <a:ext uri="{FF2B5EF4-FFF2-40B4-BE49-F238E27FC236}">
              <a16:creationId xmlns:a16="http://schemas.microsoft.com/office/drawing/2014/main" id="{1491B8E4-16DE-469C-A85C-C34C21FA52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57" name="AutoShape 4">
          <a:extLst>
            <a:ext uri="{FF2B5EF4-FFF2-40B4-BE49-F238E27FC236}">
              <a16:creationId xmlns:a16="http://schemas.microsoft.com/office/drawing/2014/main" id="{6996A019-790E-485B-9956-241C4D5574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DCC76E15-ADDC-42BB-8AED-B8D5FC5520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59" name="AutoShape 4">
          <a:extLst>
            <a:ext uri="{FF2B5EF4-FFF2-40B4-BE49-F238E27FC236}">
              <a16:creationId xmlns:a16="http://schemas.microsoft.com/office/drawing/2014/main" id="{74DC4693-C455-4BF7-9F76-AF14A81BC8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60" name="AutoShape 4">
          <a:extLst>
            <a:ext uri="{FF2B5EF4-FFF2-40B4-BE49-F238E27FC236}">
              <a16:creationId xmlns:a16="http://schemas.microsoft.com/office/drawing/2014/main" id="{196043B0-5245-4C2E-9155-F39C542DF5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961" name="AutoShape 4">
          <a:extLst>
            <a:ext uri="{FF2B5EF4-FFF2-40B4-BE49-F238E27FC236}">
              <a16:creationId xmlns:a16="http://schemas.microsoft.com/office/drawing/2014/main" id="{505633E9-FBAC-4D23-9E88-1D8549B8EB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962" name="AutoShape 4">
          <a:extLst>
            <a:ext uri="{FF2B5EF4-FFF2-40B4-BE49-F238E27FC236}">
              <a16:creationId xmlns:a16="http://schemas.microsoft.com/office/drawing/2014/main" id="{FCC4EA1A-B136-4111-8B69-FE15262460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963" name="AutoShape 4">
          <a:extLst>
            <a:ext uri="{FF2B5EF4-FFF2-40B4-BE49-F238E27FC236}">
              <a16:creationId xmlns:a16="http://schemas.microsoft.com/office/drawing/2014/main" id="{F24F4C6B-BA34-4D28-84D9-00C7F2613D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964" name="AutoShape 4">
          <a:extLst>
            <a:ext uri="{FF2B5EF4-FFF2-40B4-BE49-F238E27FC236}">
              <a16:creationId xmlns:a16="http://schemas.microsoft.com/office/drawing/2014/main" id="{C8039180-40AC-4D40-94F3-226EF85D91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F65F9C17-2C0D-4692-9510-3E358B9426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966" name="AutoShape 4">
          <a:extLst>
            <a:ext uri="{FF2B5EF4-FFF2-40B4-BE49-F238E27FC236}">
              <a16:creationId xmlns:a16="http://schemas.microsoft.com/office/drawing/2014/main" id="{C385F87C-6B62-490E-B70A-DB72AC65C7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967" name="AutoShape 4">
          <a:extLst>
            <a:ext uri="{FF2B5EF4-FFF2-40B4-BE49-F238E27FC236}">
              <a16:creationId xmlns:a16="http://schemas.microsoft.com/office/drawing/2014/main" id="{82D2C639-9336-424E-BD29-CEBC7405B1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68" name="AutoShape 4">
          <a:extLst>
            <a:ext uri="{FF2B5EF4-FFF2-40B4-BE49-F238E27FC236}">
              <a16:creationId xmlns:a16="http://schemas.microsoft.com/office/drawing/2014/main" id="{1BC0624B-DABC-48D9-B8D7-E155598117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69" name="AutoShape 4">
          <a:extLst>
            <a:ext uri="{FF2B5EF4-FFF2-40B4-BE49-F238E27FC236}">
              <a16:creationId xmlns:a16="http://schemas.microsoft.com/office/drawing/2014/main" id="{415662CF-760C-4EA0-B430-E89405D417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70" name="AutoShape 4">
          <a:extLst>
            <a:ext uri="{FF2B5EF4-FFF2-40B4-BE49-F238E27FC236}">
              <a16:creationId xmlns:a16="http://schemas.microsoft.com/office/drawing/2014/main" id="{C3F21AB0-6790-4006-8C12-B2CE5C3695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71" name="AutoShape 4">
          <a:extLst>
            <a:ext uri="{FF2B5EF4-FFF2-40B4-BE49-F238E27FC236}">
              <a16:creationId xmlns:a16="http://schemas.microsoft.com/office/drawing/2014/main" id="{80674978-B18B-4970-8C7C-EF4B11BD40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C14BCF8D-0DB4-42D8-AA63-3B3C262B54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73" name="AutoShape 4">
          <a:extLst>
            <a:ext uri="{FF2B5EF4-FFF2-40B4-BE49-F238E27FC236}">
              <a16:creationId xmlns:a16="http://schemas.microsoft.com/office/drawing/2014/main" id="{08E6C759-D518-4244-A043-F88191FD68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74" name="AutoShape 4">
          <a:extLst>
            <a:ext uri="{FF2B5EF4-FFF2-40B4-BE49-F238E27FC236}">
              <a16:creationId xmlns:a16="http://schemas.microsoft.com/office/drawing/2014/main" id="{46AEEE0C-11C5-4D8F-ADAF-1747C1EA73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75" name="AutoShape 4">
          <a:extLst>
            <a:ext uri="{FF2B5EF4-FFF2-40B4-BE49-F238E27FC236}">
              <a16:creationId xmlns:a16="http://schemas.microsoft.com/office/drawing/2014/main" id="{9BC374D3-6A32-425A-A34A-517299D724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76" name="AutoShape 4">
          <a:extLst>
            <a:ext uri="{FF2B5EF4-FFF2-40B4-BE49-F238E27FC236}">
              <a16:creationId xmlns:a16="http://schemas.microsoft.com/office/drawing/2014/main" id="{E2E77BC6-DE15-4182-BD7D-6CB256595A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77" name="AutoShape 4">
          <a:extLst>
            <a:ext uri="{FF2B5EF4-FFF2-40B4-BE49-F238E27FC236}">
              <a16:creationId xmlns:a16="http://schemas.microsoft.com/office/drawing/2014/main" id="{D78B7E86-6588-42DD-89B1-C081A5C4B8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78" name="AutoShape 4">
          <a:extLst>
            <a:ext uri="{FF2B5EF4-FFF2-40B4-BE49-F238E27FC236}">
              <a16:creationId xmlns:a16="http://schemas.microsoft.com/office/drawing/2014/main" id="{C10F8889-D05A-47EC-A134-B58ECB37FC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F17F850D-089A-4DFE-A0F7-F06B07BFFF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80" name="AutoShape 4">
          <a:extLst>
            <a:ext uri="{FF2B5EF4-FFF2-40B4-BE49-F238E27FC236}">
              <a16:creationId xmlns:a16="http://schemas.microsoft.com/office/drawing/2014/main" id="{E9B4214E-1D59-46AA-A4D2-D5A4ECDF15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81" name="AutoShape 4">
          <a:extLst>
            <a:ext uri="{FF2B5EF4-FFF2-40B4-BE49-F238E27FC236}">
              <a16:creationId xmlns:a16="http://schemas.microsoft.com/office/drawing/2014/main" id="{2599A226-226A-4274-937D-84CBE4B062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82" name="AutoShape 4">
          <a:extLst>
            <a:ext uri="{FF2B5EF4-FFF2-40B4-BE49-F238E27FC236}">
              <a16:creationId xmlns:a16="http://schemas.microsoft.com/office/drawing/2014/main" id="{4E87C373-98B6-4F30-A318-1AC1D2BDF8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83" name="AutoShape 4">
          <a:extLst>
            <a:ext uri="{FF2B5EF4-FFF2-40B4-BE49-F238E27FC236}">
              <a16:creationId xmlns:a16="http://schemas.microsoft.com/office/drawing/2014/main" id="{79720163-7A2B-4727-BCCF-78E46038AC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84" name="AutoShape 4">
          <a:extLst>
            <a:ext uri="{FF2B5EF4-FFF2-40B4-BE49-F238E27FC236}">
              <a16:creationId xmlns:a16="http://schemas.microsoft.com/office/drawing/2014/main" id="{6FB28001-5630-40F6-B291-C2A571F21F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85" name="AutoShape 4">
          <a:extLst>
            <a:ext uri="{FF2B5EF4-FFF2-40B4-BE49-F238E27FC236}">
              <a16:creationId xmlns:a16="http://schemas.microsoft.com/office/drawing/2014/main" id="{23C6313F-4586-421D-9D78-27000E7DCF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A9C85F9C-472C-4463-92F8-802FFD901F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87" name="AutoShape 4">
          <a:extLst>
            <a:ext uri="{FF2B5EF4-FFF2-40B4-BE49-F238E27FC236}">
              <a16:creationId xmlns:a16="http://schemas.microsoft.com/office/drawing/2014/main" id="{4D9ECAB3-112C-4BE1-ABA7-7FA268014C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88" name="AutoShape 4">
          <a:extLst>
            <a:ext uri="{FF2B5EF4-FFF2-40B4-BE49-F238E27FC236}">
              <a16:creationId xmlns:a16="http://schemas.microsoft.com/office/drawing/2014/main" id="{FFC41EA0-5517-4AC7-8BAC-6F9F94A440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89" name="AutoShape 4">
          <a:extLst>
            <a:ext uri="{FF2B5EF4-FFF2-40B4-BE49-F238E27FC236}">
              <a16:creationId xmlns:a16="http://schemas.microsoft.com/office/drawing/2014/main" id="{B807A49B-BF0B-409F-A4DD-30693125B7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90" name="AutoShape 4">
          <a:extLst>
            <a:ext uri="{FF2B5EF4-FFF2-40B4-BE49-F238E27FC236}">
              <a16:creationId xmlns:a16="http://schemas.microsoft.com/office/drawing/2014/main" id="{CE3D1A85-F0A6-4F9D-8EE8-C3FBEC7945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91" name="AutoShape 4">
          <a:extLst>
            <a:ext uri="{FF2B5EF4-FFF2-40B4-BE49-F238E27FC236}">
              <a16:creationId xmlns:a16="http://schemas.microsoft.com/office/drawing/2014/main" id="{2DC8A6C7-10B1-4D21-91BA-49D45AE6E8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23</xdr:row>
      <xdr:rowOff>57150</xdr:rowOff>
    </xdr:to>
    <xdr:sp macro="" textlink="">
      <xdr:nvSpPr>
        <xdr:cNvPr id="992" name="AutoShape 4">
          <a:extLst>
            <a:ext uri="{FF2B5EF4-FFF2-40B4-BE49-F238E27FC236}">
              <a16:creationId xmlns:a16="http://schemas.microsoft.com/office/drawing/2014/main" id="{561E7E03-31F8-4961-AEA7-000DD0B9A9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210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D249666C-D20F-481F-8846-7CAE887620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94" name="AutoShape 4">
          <a:extLst>
            <a:ext uri="{FF2B5EF4-FFF2-40B4-BE49-F238E27FC236}">
              <a16:creationId xmlns:a16="http://schemas.microsoft.com/office/drawing/2014/main" id="{8697D697-7D18-499D-8311-97826B7303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95" name="AutoShape 4">
          <a:extLst>
            <a:ext uri="{FF2B5EF4-FFF2-40B4-BE49-F238E27FC236}">
              <a16:creationId xmlns:a16="http://schemas.microsoft.com/office/drawing/2014/main" id="{5CF579A1-100B-42D3-B423-9A4E7587F8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96" name="AutoShape 4">
          <a:extLst>
            <a:ext uri="{FF2B5EF4-FFF2-40B4-BE49-F238E27FC236}">
              <a16:creationId xmlns:a16="http://schemas.microsoft.com/office/drawing/2014/main" id="{16D0FF13-68DB-456A-AAB1-44B02AB7DF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97" name="AutoShape 4">
          <a:extLst>
            <a:ext uri="{FF2B5EF4-FFF2-40B4-BE49-F238E27FC236}">
              <a16:creationId xmlns:a16="http://schemas.microsoft.com/office/drawing/2014/main" id="{26F9B84A-B169-42FE-BA84-44977BD070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23</xdr:row>
      <xdr:rowOff>47625</xdr:rowOff>
    </xdr:to>
    <xdr:sp macro="" textlink="">
      <xdr:nvSpPr>
        <xdr:cNvPr id="998" name="AutoShape 4">
          <a:extLst>
            <a:ext uri="{FF2B5EF4-FFF2-40B4-BE49-F238E27FC236}">
              <a16:creationId xmlns:a16="http://schemas.microsoft.com/office/drawing/2014/main" id="{63046843-AE48-43C1-9EC0-98FAB363A7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2007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999" name="AutoShape 4">
          <a:extLst>
            <a:ext uri="{FF2B5EF4-FFF2-40B4-BE49-F238E27FC236}">
              <a16:creationId xmlns:a16="http://schemas.microsoft.com/office/drawing/2014/main" id="{71ACB38D-6065-46ED-8683-D5AAA1DDE6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A89FBDA6-3B61-4C94-8C6F-5F01D23823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01" name="AutoShape 4">
          <a:extLst>
            <a:ext uri="{FF2B5EF4-FFF2-40B4-BE49-F238E27FC236}">
              <a16:creationId xmlns:a16="http://schemas.microsoft.com/office/drawing/2014/main" id="{A8D821CC-F04D-4BF6-8507-DBB9676244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02" name="AutoShape 4">
          <a:extLst>
            <a:ext uri="{FF2B5EF4-FFF2-40B4-BE49-F238E27FC236}">
              <a16:creationId xmlns:a16="http://schemas.microsoft.com/office/drawing/2014/main" id="{86EF18C1-706A-470A-A336-3F5AE566FC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3596A964-9009-472A-A262-5535268344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04" name="AutoShape 4">
          <a:extLst>
            <a:ext uri="{FF2B5EF4-FFF2-40B4-BE49-F238E27FC236}">
              <a16:creationId xmlns:a16="http://schemas.microsoft.com/office/drawing/2014/main" id="{D31E32F2-D6BA-4FE4-9A00-37D33F5485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05" name="AutoShape 4">
          <a:extLst>
            <a:ext uri="{FF2B5EF4-FFF2-40B4-BE49-F238E27FC236}">
              <a16:creationId xmlns:a16="http://schemas.microsoft.com/office/drawing/2014/main" id="{DE8054B0-D8D5-4D24-AD36-D7A7F0373A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06" name="AutoShape 4">
          <a:extLst>
            <a:ext uri="{FF2B5EF4-FFF2-40B4-BE49-F238E27FC236}">
              <a16:creationId xmlns:a16="http://schemas.microsoft.com/office/drawing/2014/main" id="{56FC37FB-D6BE-458A-830D-3959DF28C6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07" name="AutoShape 4">
          <a:extLst>
            <a:ext uri="{FF2B5EF4-FFF2-40B4-BE49-F238E27FC236}">
              <a16:creationId xmlns:a16="http://schemas.microsoft.com/office/drawing/2014/main" id="{92E01385-544D-44A9-98DE-9F03B846BF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08" name="AutoShape 4">
          <a:extLst>
            <a:ext uri="{FF2B5EF4-FFF2-40B4-BE49-F238E27FC236}">
              <a16:creationId xmlns:a16="http://schemas.microsoft.com/office/drawing/2014/main" id="{908432CE-0C45-45EC-BBF4-8869C1A0D5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09" name="AutoShape 4">
          <a:extLst>
            <a:ext uri="{FF2B5EF4-FFF2-40B4-BE49-F238E27FC236}">
              <a16:creationId xmlns:a16="http://schemas.microsoft.com/office/drawing/2014/main" id="{76FC077F-C2B5-4A8B-AD0E-004C1F347C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010" name="AutoShape 4">
          <a:extLst>
            <a:ext uri="{FF2B5EF4-FFF2-40B4-BE49-F238E27FC236}">
              <a16:creationId xmlns:a16="http://schemas.microsoft.com/office/drawing/2014/main" id="{BA3408C4-4775-4D63-BE86-C7EE2DD420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724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4956C9FE-F610-48DF-A03C-005D2D6698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724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012" name="AutoShape 4">
          <a:extLst>
            <a:ext uri="{FF2B5EF4-FFF2-40B4-BE49-F238E27FC236}">
              <a16:creationId xmlns:a16="http://schemas.microsoft.com/office/drawing/2014/main" id="{5FE8AFD2-2D5E-420D-A8FE-57BA74E940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724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013" name="AutoShape 4">
          <a:extLst>
            <a:ext uri="{FF2B5EF4-FFF2-40B4-BE49-F238E27FC236}">
              <a16:creationId xmlns:a16="http://schemas.microsoft.com/office/drawing/2014/main" id="{D646E4EA-5CC6-4CBD-96C5-3DE03BA51D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724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991A3DEA-4F77-4719-9DED-B0AC706497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015" name="AutoShape 4">
          <a:extLst>
            <a:ext uri="{FF2B5EF4-FFF2-40B4-BE49-F238E27FC236}">
              <a16:creationId xmlns:a16="http://schemas.microsoft.com/office/drawing/2014/main" id="{C2FE8692-325F-4775-B22A-C1FD335425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016" name="AutoShape 4">
          <a:extLst>
            <a:ext uri="{FF2B5EF4-FFF2-40B4-BE49-F238E27FC236}">
              <a16:creationId xmlns:a16="http://schemas.microsoft.com/office/drawing/2014/main" id="{1AA5769D-5DBD-4D26-87AB-403114D62A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B010ABF-4EBB-4B8A-B938-1F8BEB65CF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018" name="AutoShape 4">
          <a:extLst>
            <a:ext uri="{FF2B5EF4-FFF2-40B4-BE49-F238E27FC236}">
              <a16:creationId xmlns:a16="http://schemas.microsoft.com/office/drawing/2014/main" id="{42698A30-9523-4C2E-9451-F4C69414A8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019" name="AutoShape 4">
          <a:extLst>
            <a:ext uri="{FF2B5EF4-FFF2-40B4-BE49-F238E27FC236}">
              <a16:creationId xmlns:a16="http://schemas.microsoft.com/office/drawing/2014/main" id="{30701922-1908-4208-B115-45BE0B2263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20" name="AutoShape 4">
          <a:extLst>
            <a:ext uri="{FF2B5EF4-FFF2-40B4-BE49-F238E27FC236}">
              <a16:creationId xmlns:a16="http://schemas.microsoft.com/office/drawing/2014/main" id="{9ACC297E-E863-4432-985C-55EEF827E6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21" name="AutoShape 4">
          <a:extLst>
            <a:ext uri="{FF2B5EF4-FFF2-40B4-BE49-F238E27FC236}">
              <a16:creationId xmlns:a16="http://schemas.microsoft.com/office/drawing/2014/main" id="{24D244EF-4294-4F94-B6F0-3B722A494A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22" name="AutoShape 4">
          <a:extLst>
            <a:ext uri="{FF2B5EF4-FFF2-40B4-BE49-F238E27FC236}">
              <a16:creationId xmlns:a16="http://schemas.microsoft.com/office/drawing/2014/main" id="{DE4F8B1F-F180-41A8-92B0-EA80294E55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23" name="AutoShape 4">
          <a:extLst>
            <a:ext uri="{FF2B5EF4-FFF2-40B4-BE49-F238E27FC236}">
              <a16:creationId xmlns:a16="http://schemas.microsoft.com/office/drawing/2014/main" id="{E0824884-2642-4E22-BB9E-02CB119EDF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1FE2DBB3-C5A6-497B-B764-860382E005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25" name="AutoShape 4">
          <a:extLst>
            <a:ext uri="{FF2B5EF4-FFF2-40B4-BE49-F238E27FC236}">
              <a16:creationId xmlns:a16="http://schemas.microsoft.com/office/drawing/2014/main" id="{C3A08193-8614-49EA-8F10-AE409BEA4D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26" name="AutoShape 4">
          <a:extLst>
            <a:ext uri="{FF2B5EF4-FFF2-40B4-BE49-F238E27FC236}">
              <a16:creationId xmlns:a16="http://schemas.microsoft.com/office/drawing/2014/main" id="{115915B8-7A57-4E24-AEFE-3E3836E99B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27" name="AutoShape 4">
          <a:extLst>
            <a:ext uri="{FF2B5EF4-FFF2-40B4-BE49-F238E27FC236}">
              <a16:creationId xmlns:a16="http://schemas.microsoft.com/office/drawing/2014/main" id="{2F6BB1D6-CB87-4C40-AEC6-850CC0DE20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2749F78C-7991-4426-8802-631713CC3E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29" name="AutoShape 4">
          <a:extLst>
            <a:ext uri="{FF2B5EF4-FFF2-40B4-BE49-F238E27FC236}">
              <a16:creationId xmlns:a16="http://schemas.microsoft.com/office/drawing/2014/main" id="{2ECF2399-385D-403A-B5C3-3071B76F7E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30" name="AutoShape 4">
          <a:extLst>
            <a:ext uri="{FF2B5EF4-FFF2-40B4-BE49-F238E27FC236}">
              <a16:creationId xmlns:a16="http://schemas.microsoft.com/office/drawing/2014/main" id="{ABBEA440-830B-4C29-AAE9-F1F9C25FB8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F638A635-4F0D-4164-A9BF-328A67689C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724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032" name="AutoShape 4">
          <a:extLst>
            <a:ext uri="{FF2B5EF4-FFF2-40B4-BE49-F238E27FC236}">
              <a16:creationId xmlns:a16="http://schemas.microsoft.com/office/drawing/2014/main" id="{C68EE72C-F904-4222-9E46-8878E9851A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724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033" name="AutoShape 4">
          <a:extLst>
            <a:ext uri="{FF2B5EF4-FFF2-40B4-BE49-F238E27FC236}">
              <a16:creationId xmlns:a16="http://schemas.microsoft.com/office/drawing/2014/main" id="{FC88D850-4D68-4D39-ABEA-1524DD8261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724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25</xdr:row>
      <xdr:rowOff>57150</xdr:rowOff>
    </xdr:to>
    <xdr:sp macro="" textlink="">
      <xdr:nvSpPr>
        <xdr:cNvPr id="1034" name="AutoShape 4">
          <a:extLst>
            <a:ext uri="{FF2B5EF4-FFF2-40B4-BE49-F238E27FC236}">
              <a16:creationId xmlns:a16="http://schemas.microsoft.com/office/drawing/2014/main" id="{1718DECD-1808-4F8C-B0A4-3E96AF7D42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724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035" name="AutoShape 4">
          <a:extLst>
            <a:ext uri="{FF2B5EF4-FFF2-40B4-BE49-F238E27FC236}">
              <a16:creationId xmlns:a16="http://schemas.microsoft.com/office/drawing/2014/main" id="{AF0BB58E-3D27-47FF-8027-E44CB097B7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036" name="AutoShape 4">
          <a:extLst>
            <a:ext uri="{FF2B5EF4-FFF2-40B4-BE49-F238E27FC236}">
              <a16:creationId xmlns:a16="http://schemas.microsoft.com/office/drawing/2014/main" id="{DAE4B69C-CE79-4601-9B95-B98B824E5C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037" name="AutoShape 4">
          <a:extLst>
            <a:ext uri="{FF2B5EF4-FFF2-40B4-BE49-F238E27FC236}">
              <a16:creationId xmlns:a16="http://schemas.microsoft.com/office/drawing/2014/main" id="{119E8F2F-FC0D-4EB6-92B9-F9F95A83CF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C6A46192-0E10-4E2B-957F-ABB200035D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039" name="AutoShape 4">
          <a:extLst>
            <a:ext uri="{FF2B5EF4-FFF2-40B4-BE49-F238E27FC236}">
              <a16:creationId xmlns:a16="http://schemas.microsoft.com/office/drawing/2014/main" id="{10B20E48-62B7-4D24-81BE-1283F203F1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25</xdr:row>
      <xdr:rowOff>47625</xdr:rowOff>
    </xdr:to>
    <xdr:sp macro="" textlink="">
      <xdr:nvSpPr>
        <xdr:cNvPr id="1040" name="AutoShape 4">
          <a:extLst>
            <a:ext uri="{FF2B5EF4-FFF2-40B4-BE49-F238E27FC236}">
              <a16:creationId xmlns:a16="http://schemas.microsoft.com/office/drawing/2014/main" id="{59FF297D-73D6-45E9-BE88-4DEFBB1E54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7151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41" name="AutoShape 4">
          <a:extLst>
            <a:ext uri="{FF2B5EF4-FFF2-40B4-BE49-F238E27FC236}">
              <a16:creationId xmlns:a16="http://schemas.microsoft.com/office/drawing/2014/main" id="{259DB095-9872-42D7-998D-DD516CE596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636997A6-EBF8-401A-BF4A-D0DE7E74BF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43" name="AutoShape 4">
          <a:extLst>
            <a:ext uri="{FF2B5EF4-FFF2-40B4-BE49-F238E27FC236}">
              <a16:creationId xmlns:a16="http://schemas.microsoft.com/office/drawing/2014/main" id="{1522D8F9-A830-4093-AB5A-6E7A0F02EB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44" name="AutoShape 4">
          <a:extLst>
            <a:ext uri="{FF2B5EF4-FFF2-40B4-BE49-F238E27FC236}">
              <a16:creationId xmlns:a16="http://schemas.microsoft.com/office/drawing/2014/main" id="{E0DEBA02-1815-44EC-BA10-6BFEFBD7BF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45" name="AutoShape 4">
          <a:extLst>
            <a:ext uri="{FF2B5EF4-FFF2-40B4-BE49-F238E27FC236}">
              <a16:creationId xmlns:a16="http://schemas.microsoft.com/office/drawing/2014/main" id="{3CB6E7B3-6E83-4CF3-A8F9-F5A8BC6523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46" name="AutoShape 4">
          <a:extLst>
            <a:ext uri="{FF2B5EF4-FFF2-40B4-BE49-F238E27FC236}">
              <a16:creationId xmlns:a16="http://schemas.microsoft.com/office/drawing/2014/main" id="{38943E46-3DD9-41D2-8537-3EE2984296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47" name="AutoShape 4">
          <a:extLst>
            <a:ext uri="{FF2B5EF4-FFF2-40B4-BE49-F238E27FC236}">
              <a16:creationId xmlns:a16="http://schemas.microsoft.com/office/drawing/2014/main" id="{ECDAB46D-22D4-40B7-9AD0-4DA8B0F40C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48" name="AutoShape 4">
          <a:extLst>
            <a:ext uri="{FF2B5EF4-FFF2-40B4-BE49-F238E27FC236}">
              <a16:creationId xmlns:a16="http://schemas.microsoft.com/office/drawing/2014/main" id="{FEEC2707-C034-479C-92EE-EB3AC6BB9D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94B6491-A860-46D7-A1B7-219E7F49FF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50" name="AutoShape 4">
          <a:extLst>
            <a:ext uri="{FF2B5EF4-FFF2-40B4-BE49-F238E27FC236}">
              <a16:creationId xmlns:a16="http://schemas.microsoft.com/office/drawing/2014/main" id="{A57716FA-93A0-4AF0-9E9C-8EE6CB280E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51" name="AutoShape 4">
          <a:extLst>
            <a:ext uri="{FF2B5EF4-FFF2-40B4-BE49-F238E27FC236}">
              <a16:creationId xmlns:a16="http://schemas.microsoft.com/office/drawing/2014/main" id="{897FB6A3-0AC1-4C52-AC72-03D5B0F2B8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052" name="AutoShape 4">
          <a:extLst>
            <a:ext uri="{FF2B5EF4-FFF2-40B4-BE49-F238E27FC236}">
              <a16:creationId xmlns:a16="http://schemas.microsoft.com/office/drawing/2014/main" id="{185D815B-88AF-4A15-8A9E-4DE5122A6E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053" name="AutoShape 4">
          <a:extLst>
            <a:ext uri="{FF2B5EF4-FFF2-40B4-BE49-F238E27FC236}">
              <a16:creationId xmlns:a16="http://schemas.microsoft.com/office/drawing/2014/main" id="{69359B7A-6BC6-4B6E-8FC1-C39235B09D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054" name="AutoShape 4">
          <a:extLst>
            <a:ext uri="{FF2B5EF4-FFF2-40B4-BE49-F238E27FC236}">
              <a16:creationId xmlns:a16="http://schemas.microsoft.com/office/drawing/2014/main" id="{F75E78AB-F7D7-4B84-9759-955E3EAC35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055" name="AutoShape 4">
          <a:extLst>
            <a:ext uri="{FF2B5EF4-FFF2-40B4-BE49-F238E27FC236}">
              <a16:creationId xmlns:a16="http://schemas.microsoft.com/office/drawing/2014/main" id="{1C2FB2CE-CF18-41FE-A8AA-CF4366BA8E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56" name="AutoShape 4">
          <a:extLst>
            <a:ext uri="{FF2B5EF4-FFF2-40B4-BE49-F238E27FC236}">
              <a16:creationId xmlns:a16="http://schemas.microsoft.com/office/drawing/2014/main" id="{925C6332-A538-4DE4-B8B7-8C48E3E6D4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57" name="AutoShape 4">
          <a:extLst>
            <a:ext uri="{FF2B5EF4-FFF2-40B4-BE49-F238E27FC236}">
              <a16:creationId xmlns:a16="http://schemas.microsoft.com/office/drawing/2014/main" id="{AA3F2EBE-DBFF-4ACE-9637-181F1FB456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58" name="AutoShape 4">
          <a:extLst>
            <a:ext uri="{FF2B5EF4-FFF2-40B4-BE49-F238E27FC236}">
              <a16:creationId xmlns:a16="http://schemas.microsoft.com/office/drawing/2014/main" id="{8C0262B0-28ED-4C00-8A20-9415BECF00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59" name="AutoShape 4">
          <a:extLst>
            <a:ext uri="{FF2B5EF4-FFF2-40B4-BE49-F238E27FC236}">
              <a16:creationId xmlns:a16="http://schemas.microsoft.com/office/drawing/2014/main" id="{8260727C-6BD1-4D7B-B170-EF5AE1A64A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60" name="AutoShape 4">
          <a:extLst>
            <a:ext uri="{FF2B5EF4-FFF2-40B4-BE49-F238E27FC236}">
              <a16:creationId xmlns:a16="http://schemas.microsoft.com/office/drawing/2014/main" id="{7C9F02BF-AEA8-4EC9-8E6B-5027ECB0D8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61" name="AutoShape 4">
          <a:extLst>
            <a:ext uri="{FF2B5EF4-FFF2-40B4-BE49-F238E27FC236}">
              <a16:creationId xmlns:a16="http://schemas.microsoft.com/office/drawing/2014/main" id="{D4B96172-2825-41AD-8EC9-DA4B8AD77A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6A96BAE1-8C2B-477E-BBF1-080F2F8F39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63" name="AutoShape 4">
          <a:extLst>
            <a:ext uri="{FF2B5EF4-FFF2-40B4-BE49-F238E27FC236}">
              <a16:creationId xmlns:a16="http://schemas.microsoft.com/office/drawing/2014/main" id="{8F1BB419-2F27-4FDE-B101-A2DC95380C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64" name="AutoShape 4">
          <a:extLst>
            <a:ext uri="{FF2B5EF4-FFF2-40B4-BE49-F238E27FC236}">
              <a16:creationId xmlns:a16="http://schemas.microsoft.com/office/drawing/2014/main" id="{F020C32C-620D-4137-BC44-BEEC459D95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5CC17B9D-F7B9-4C11-91F9-957A163B37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66" name="AutoShape 4">
          <a:extLst>
            <a:ext uri="{FF2B5EF4-FFF2-40B4-BE49-F238E27FC236}">
              <a16:creationId xmlns:a16="http://schemas.microsoft.com/office/drawing/2014/main" id="{C7FEC431-8CF2-4CB8-9A9C-C4BF340089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67" name="AutoShape 4">
          <a:extLst>
            <a:ext uri="{FF2B5EF4-FFF2-40B4-BE49-F238E27FC236}">
              <a16:creationId xmlns:a16="http://schemas.microsoft.com/office/drawing/2014/main" id="{C116C38E-79A6-4225-A3BD-16694F9FCE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78685016-0930-4877-9363-2E80487CE5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69" name="AutoShape 4">
          <a:extLst>
            <a:ext uri="{FF2B5EF4-FFF2-40B4-BE49-F238E27FC236}">
              <a16:creationId xmlns:a16="http://schemas.microsoft.com/office/drawing/2014/main" id="{E6DB839F-4487-4966-8CC1-E5FB84BD69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70" name="AutoShape 4">
          <a:extLst>
            <a:ext uri="{FF2B5EF4-FFF2-40B4-BE49-F238E27FC236}">
              <a16:creationId xmlns:a16="http://schemas.microsoft.com/office/drawing/2014/main" id="{DBC72AA0-C2E4-4710-A772-67994FB84C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3724351B-3DBB-4FF5-8336-5823DFBC9E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72" name="AutoShape 4">
          <a:extLst>
            <a:ext uri="{FF2B5EF4-FFF2-40B4-BE49-F238E27FC236}">
              <a16:creationId xmlns:a16="http://schemas.microsoft.com/office/drawing/2014/main" id="{AFD38AD7-5F3F-48A6-A6FF-B66C54452F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073" name="AutoShape 4">
          <a:extLst>
            <a:ext uri="{FF2B5EF4-FFF2-40B4-BE49-F238E27FC236}">
              <a16:creationId xmlns:a16="http://schemas.microsoft.com/office/drawing/2014/main" id="{AA8104C9-897E-47B2-BBFF-865F1D83E7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074" name="AutoShape 4">
          <a:extLst>
            <a:ext uri="{FF2B5EF4-FFF2-40B4-BE49-F238E27FC236}">
              <a16:creationId xmlns:a16="http://schemas.microsoft.com/office/drawing/2014/main" id="{439C117D-2A3F-49F6-A6D7-036498732D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075" name="AutoShape 4">
          <a:extLst>
            <a:ext uri="{FF2B5EF4-FFF2-40B4-BE49-F238E27FC236}">
              <a16:creationId xmlns:a16="http://schemas.microsoft.com/office/drawing/2014/main" id="{4B33AC57-46B8-44AD-9342-E66F2AB666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076" name="AutoShape 4">
          <a:extLst>
            <a:ext uri="{FF2B5EF4-FFF2-40B4-BE49-F238E27FC236}">
              <a16:creationId xmlns:a16="http://schemas.microsoft.com/office/drawing/2014/main" id="{0A90A30C-9B48-4547-80CA-D68D595F7B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77" name="AutoShape 4">
          <a:extLst>
            <a:ext uri="{FF2B5EF4-FFF2-40B4-BE49-F238E27FC236}">
              <a16:creationId xmlns:a16="http://schemas.microsoft.com/office/drawing/2014/main" id="{102EE195-0C30-4D5A-86FB-B0D9315C78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51814ED7-26C5-40DE-9D81-176F6EA2B5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79" name="AutoShape 4">
          <a:extLst>
            <a:ext uri="{FF2B5EF4-FFF2-40B4-BE49-F238E27FC236}">
              <a16:creationId xmlns:a16="http://schemas.microsoft.com/office/drawing/2014/main" id="{A9EEA06B-2A13-4186-A06E-87BE786E02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80" name="AutoShape 4">
          <a:extLst>
            <a:ext uri="{FF2B5EF4-FFF2-40B4-BE49-F238E27FC236}">
              <a16:creationId xmlns:a16="http://schemas.microsoft.com/office/drawing/2014/main" id="{686650F8-46D1-468D-8E41-3DB44F8451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81" name="AutoShape 4">
          <a:extLst>
            <a:ext uri="{FF2B5EF4-FFF2-40B4-BE49-F238E27FC236}">
              <a16:creationId xmlns:a16="http://schemas.microsoft.com/office/drawing/2014/main" id="{57BE410F-4B6B-45A4-9809-3D8E6073F6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82" name="AutoShape 4">
          <a:extLst>
            <a:ext uri="{FF2B5EF4-FFF2-40B4-BE49-F238E27FC236}">
              <a16:creationId xmlns:a16="http://schemas.microsoft.com/office/drawing/2014/main" id="{A540400B-18B1-4A47-A48F-21AD9422A8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83" name="AutoShape 4">
          <a:extLst>
            <a:ext uri="{FF2B5EF4-FFF2-40B4-BE49-F238E27FC236}">
              <a16:creationId xmlns:a16="http://schemas.microsoft.com/office/drawing/2014/main" id="{DEC9AB6E-819A-4526-BD2A-13AC665FD6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84" name="AutoShape 4">
          <a:extLst>
            <a:ext uri="{FF2B5EF4-FFF2-40B4-BE49-F238E27FC236}">
              <a16:creationId xmlns:a16="http://schemas.microsoft.com/office/drawing/2014/main" id="{CAB86074-F8BF-4DEA-B437-549D0BDA1D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475057B9-B856-41EA-A5F8-06B1534130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86" name="AutoShape 4">
          <a:extLst>
            <a:ext uri="{FF2B5EF4-FFF2-40B4-BE49-F238E27FC236}">
              <a16:creationId xmlns:a16="http://schemas.microsoft.com/office/drawing/2014/main" id="{00EF98E7-C2EC-44CA-91E1-EEEB53B24A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87" name="AutoShape 4">
          <a:extLst>
            <a:ext uri="{FF2B5EF4-FFF2-40B4-BE49-F238E27FC236}">
              <a16:creationId xmlns:a16="http://schemas.microsoft.com/office/drawing/2014/main" id="{0DEAB7E9-B5C0-45C6-97A5-165E20DF3A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88" name="AutoShape 4">
          <a:extLst>
            <a:ext uri="{FF2B5EF4-FFF2-40B4-BE49-F238E27FC236}">
              <a16:creationId xmlns:a16="http://schemas.microsoft.com/office/drawing/2014/main" id="{B946E0F7-9098-4E9B-88B8-880376786A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89" name="AutoShape 4">
          <a:extLst>
            <a:ext uri="{FF2B5EF4-FFF2-40B4-BE49-F238E27FC236}">
              <a16:creationId xmlns:a16="http://schemas.microsoft.com/office/drawing/2014/main" id="{74AF5FCB-C86B-4279-B148-AEF86812E1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90" name="AutoShape 4">
          <a:extLst>
            <a:ext uri="{FF2B5EF4-FFF2-40B4-BE49-F238E27FC236}">
              <a16:creationId xmlns:a16="http://schemas.microsoft.com/office/drawing/2014/main" id="{38571286-24B5-427D-8262-CBF540AB73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91" name="AutoShape 4">
          <a:extLst>
            <a:ext uri="{FF2B5EF4-FFF2-40B4-BE49-F238E27FC236}">
              <a16:creationId xmlns:a16="http://schemas.microsoft.com/office/drawing/2014/main" id="{4C1F8F18-3FA5-4F5E-8E2E-4D5D7D53E7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AB86D53-6EE9-44F9-BCC2-D9D6C4ABCD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93" name="AutoShape 4">
          <a:extLst>
            <a:ext uri="{FF2B5EF4-FFF2-40B4-BE49-F238E27FC236}">
              <a16:creationId xmlns:a16="http://schemas.microsoft.com/office/drawing/2014/main" id="{800E9EF6-41E7-4AB2-BA06-6B1C618F8C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094" name="AutoShape 4">
          <a:extLst>
            <a:ext uri="{FF2B5EF4-FFF2-40B4-BE49-F238E27FC236}">
              <a16:creationId xmlns:a16="http://schemas.microsoft.com/office/drawing/2014/main" id="{BEF7E2F4-3C98-4AF3-A464-FF8382ECE8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095" name="AutoShape 4">
          <a:extLst>
            <a:ext uri="{FF2B5EF4-FFF2-40B4-BE49-F238E27FC236}">
              <a16:creationId xmlns:a16="http://schemas.microsoft.com/office/drawing/2014/main" id="{AA31F0B9-03BF-4174-B01C-FECD22BAE7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EF33585B-3489-4F77-B9F2-98A07BA5F4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097" name="AutoShape 4">
          <a:extLst>
            <a:ext uri="{FF2B5EF4-FFF2-40B4-BE49-F238E27FC236}">
              <a16:creationId xmlns:a16="http://schemas.microsoft.com/office/drawing/2014/main" id="{72C810A3-4861-44A0-98B5-16AEFB95CD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98" name="AutoShape 4">
          <a:extLst>
            <a:ext uri="{FF2B5EF4-FFF2-40B4-BE49-F238E27FC236}">
              <a16:creationId xmlns:a16="http://schemas.microsoft.com/office/drawing/2014/main" id="{23BAE168-FD87-43B8-932C-CFB44F9346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099" name="AutoShape 4">
          <a:extLst>
            <a:ext uri="{FF2B5EF4-FFF2-40B4-BE49-F238E27FC236}">
              <a16:creationId xmlns:a16="http://schemas.microsoft.com/office/drawing/2014/main" id="{1DCC2B45-B849-4C08-B239-F560789362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00" name="AutoShape 4">
          <a:extLst>
            <a:ext uri="{FF2B5EF4-FFF2-40B4-BE49-F238E27FC236}">
              <a16:creationId xmlns:a16="http://schemas.microsoft.com/office/drawing/2014/main" id="{C29B314D-2254-42B7-8087-A8F868577D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01" name="AutoShape 4">
          <a:extLst>
            <a:ext uri="{FF2B5EF4-FFF2-40B4-BE49-F238E27FC236}">
              <a16:creationId xmlns:a16="http://schemas.microsoft.com/office/drawing/2014/main" id="{11B66E78-E3DB-431F-8784-24372DE1A0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02" name="AutoShape 4">
          <a:extLst>
            <a:ext uri="{FF2B5EF4-FFF2-40B4-BE49-F238E27FC236}">
              <a16:creationId xmlns:a16="http://schemas.microsoft.com/office/drawing/2014/main" id="{E30B4F16-8C1A-4DF7-B187-560B4CC59B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B801EA76-272E-449F-BB67-6E7FC436C0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04" name="AutoShape 4">
          <a:extLst>
            <a:ext uri="{FF2B5EF4-FFF2-40B4-BE49-F238E27FC236}">
              <a16:creationId xmlns:a16="http://schemas.microsoft.com/office/drawing/2014/main" id="{AC94A37B-FC96-49F7-9789-D0D1E957D5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05" name="AutoShape 4">
          <a:extLst>
            <a:ext uri="{FF2B5EF4-FFF2-40B4-BE49-F238E27FC236}">
              <a16:creationId xmlns:a16="http://schemas.microsoft.com/office/drawing/2014/main" id="{9426E063-6D54-4105-A0F0-3271D2EAC6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06" name="AutoShape 4">
          <a:extLst>
            <a:ext uri="{FF2B5EF4-FFF2-40B4-BE49-F238E27FC236}">
              <a16:creationId xmlns:a16="http://schemas.microsoft.com/office/drawing/2014/main" id="{CA268C8D-687E-467C-9A26-D4462636B5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07" name="AutoShape 4">
          <a:extLst>
            <a:ext uri="{FF2B5EF4-FFF2-40B4-BE49-F238E27FC236}">
              <a16:creationId xmlns:a16="http://schemas.microsoft.com/office/drawing/2014/main" id="{EBD408F4-92BF-47FD-8140-48704FFDA4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08" name="AutoShape 4">
          <a:extLst>
            <a:ext uri="{FF2B5EF4-FFF2-40B4-BE49-F238E27FC236}">
              <a16:creationId xmlns:a16="http://schemas.microsoft.com/office/drawing/2014/main" id="{DD2A567E-380F-4B6B-943F-8ECFF7E92AF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09" name="AutoShape 4">
          <a:extLst>
            <a:ext uri="{FF2B5EF4-FFF2-40B4-BE49-F238E27FC236}">
              <a16:creationId xmlns:a16="http://schemas.microsoft.com/office/drawing/2014/main" id="{9749E8F4-1881-465E-AD32-C828DDA762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F497673A-B8F1-4156-B3D9-CA8C8618DC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11" name="AutoShape 4">
          <a:extLst>
            <a:ext uri="{FF2B5EF4-FFF2-40B4-BE49-F238E27FC236}">
              <a16:creationId xmlns:a16="http://schemas.microsoft.com/office/drawing/2014/main" id="{55370CB8-3D90-4B47-A590-FFAD30E603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12" name="AutoShape 4">
          <a:extLst>
            <a:ext uri="{FF2B5EF4-FFF2-40B4-BE49-F238E27FC236}">
              <a16:creationId xmlns:a16="http://schemas.microsoft.com/office/drawing/2014/main" id="{91E311BA-F5B7-4FE0-B514-D026F49A9A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13" name="AutoShape 4">
          <a:extLst>
            <a:ext uri="{FF2B5EF4-FFF2-40B4-BE49-F238E27FC236}">
              <a16:creationId xmlns:a16="http://schemas.microsoft.com/office/drawing/2014/main" id="{A9A150AC-CBE9-4ECD-97FF-6E3A74918E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14" name="AutoShape 4">
          <a:extLst>
            <a:ext uri="{FF2B5EF4-FFF2-40B4-BE49-F238E27FC236}">
              <a16:creationId xmlns:a16="http://schemas.microsoft.com/office/drawing/2014/main" id="{5CABDF02-4F88-4F59-8022-4156A13A13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115" name="AutoShape 4">
          <a:extLst>
            <a:ext uri="{FF2B5EF4-FFF2-40B4-BE49-F238E27FC236}">
              <a16:creationId xmlns:a16="http://schemas.microsoft.com/office/drawing/2014/main" id="{36A5302F-745B-45D5-A871-03605331E4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116" name="AutoShape 4">
          <a:extLst>
            <a:ext uri="{FF2B5EF4-FFF2-40B4-BE49-F238E27FC236}">
              <a16:creationId xmlns:a16="http://schemas.microsoft.com/office/drawing/2014/main" id="{29DCA39F-5C31-4418-ADD8-66D54EDF94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C8F5B6EE-7C39-42BC-A7ED-53592BAF83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118" name="AutoShape 4">
          <a:extLst>
            <a:ext uri="{FF2B5EF4-FFF2-40B4-BE49-F238E27FC236}">
              <a16:creationId xmlns:a16="http://schemas.microsoft.com/office/drawing/2014/main" id="{4A490368-7135-485B-ABBD-797E8B6A91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19" name="AutoShape 4">
          <a:extLst>
            <a:ext uri="{FF2B5EF4-FFF2-40B4-BE49-F238E27FC236}">
              <a16:creationId xmlns:a16="http://schemas.microsoft.com/office/drawing/2014/main" id="{F760DA52-D4FD-489C-A054-4E95B40D3D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20" name="AutoShape 4">
          <a:extLst>
            <a:ext uri="{FF2B5EF4-FFF2-40B4-BE49-F238E27FC236}">
              <a16:creationId xmlns:a16="http://schemas.microsoft.com/office/drawing/2014/main" id="{5A9148F3-2A53-4CB7-9EBF-E3A6227D95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21" name="AutoShape 4">
          <a:extLst>
            <a:ext uri="{FF2B5EF4-FFF2-40B4-BE49-F238E27FC236}">
              <a16:creationId xmlns:a16="http://schemas.microsoft.com/office/drawing/2014/main" id="{04B102B2-A640-443B-AA15-565337762C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22" name="AutoShape 4">
          <a:extLst>
            <a:ext uri="{FF2B5EF4-FFF2-40B4-BE49-F238E27FC236}">
              <a16:creationId xmlns:a16="http://schemas.microsoft.com/office/drawing/2014/main" id="{B865E365-99C1-4A2C-A10A-7DFEE0036B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23" name="AutoShape 4">
          <a:extLst>
            <a:ext uri="{FF2B5EF4-FFF2-40B4-BE49-F238E27FC236}">
              <a16:creationId xmlns:a16="http://schemas.microsoft.com/office/drawing/2014/main" id="{3201602D-74D9-486D-8A2A-4F6DB7C5CD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3FD00EB-8CCF-4B11-A2BC-B29D74A4D2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25" name="AutoShape 4">
          <a:extLst>
            <a:ext uri="{FF2B5EF4-FFF2-40B4-BE49-F238E27FC236}">
              <a16:creationId xmlns:a16="http://schemas.microsoft.com/office/drawing/2014/main" id="{7EF525FC-EDB6-46AA-BB5A-B1385BA109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26" name="AutoShape 4">
          <a:extLst>
            <a:ext uri="{FF2B5EF4-FFF2-40B4-BE49-F238E27FC236}">
              <a16:creationId xmlns:a16="http://schemas.microsoft.com/office/drawing/2014/main" id="{CC0E109C-378C-45C6-8F8F-D5A22477BC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27" name="AutoShape 4">
          <a:extLst>
            <a:ext uri="{FF2B5EF4-FFF2-40B4-BE49-F238E27FC236}">
              <a16:creationId xmlns:a16="http://schemas.microsoft.com/office/drawing/2014/main" id="{FFA9803B-D948-4DBF-AB33-D39130F193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28" name="AutoShape 4">
          <a:extLst>
            <a:ext uri="{FF2B5EF4-FFF2-40B4-BE49-F238E27FC236}">
              <a16:creationId xmlns:a16="http://schemas.microsoft.com/office/drawing/2014/main" id="{AE0DB375-7919-4558-8F46-E3C1DFD439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29" name="AutoShape 4">
          <a:extLst>
            <a:ext uri="{FF2B5EF4-FFF2-40B4-BE49-F238E27FC236}">
              <a16:creationId xmlns:a16="http://schemas.microsoft.com/office/drawing/2014/main" id="{D7A79734-41D5-4D4F-9210-DA5E16802D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30" name="AutoShape 4">
          <a:extLst>
            <a:ext uri="{FF2B5EF4-FFF2-40B4-BE49-F238E27FC236}">
              <a16:creationId xmlns:a16="http://schemas.microsoft.com/office/drawing/2014/main" id="{DE2358D6-369A-43BA-A9F1-ABCA742E4E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26736A31-FB4E-42A2-B707-D57A088CD1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32" name="AutoShape 4">
          <a:extLst>
            <a:ext uri="{FF2B5EF4-FFF2-40B4-BE49-F238E27FC236}">
              <a16:creationId xmlns:a16="http://schemas.microsoft.com/office/drawing/2014/main" id="{D6716D2D-E703-481C-BACC-2F2C75E3A5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33" name="AutoShape 4">
          <a:extLst>
            <a:ext uri="{FF2B5EF4-FFF2-40B4-BE49-F238E27FC236}">
              <a16:creationId xmlns:a16="http://schemas.microsoft.com/office/drawing/2014/main" id="{2C73CAEC-3A70-4D4F-8669-008AA6D2E4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34" name="AutoShape 4">
          <a:extLst>
            <a:ext uri="{FF2B5EF4-FFF2-40B4-BE49-F238E27FC236}">
              <a16:creationId xmlns:a16="http://schemas.microsoft.com/office/drawing/2014/main" id="{19FBCC2C-832D-4306-8D09-CF0A8296FD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35" name="AutoShape 4">
          <a:extLst>
            <a:ext uri="{FF2B5EF4-FFF2-40B4-BE49-F238E27FC236}">
              <a16:creationId xmlns:a16="http://schemas.microsoft.com/office/drawing/2014/main" id="{4E9C667C-6350-4A0A-A755-8D5E15C777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136" name="AutoShape 4">
          <a:extLst>
            <a:ext uri="{FF2B5EF4-FFF2-40B4-BE49-F238E27FC236}">
              <a16:creationId xmlns:a16="http://schemas.microsoft.com/office/drawing/2014/main" id="{078ECA85-03FC-4042-A9B4-15CE714A8E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137" name="AutoShape 4">
          <a:extLst>
            <a:ext uri="{FF2B5EF4-FFF2-40B4-BE49-F238E27FC236}">
              <a16:creationId xmlns:a16="http://schemas.microsoft.com/office/drawing/2014/main" id="{492ED7B7-2EF9-4EAE-B07B-A51D6037D8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95BFEA04-545E-400F-99F4-E07AA6CECC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139" name="AutoShape 4">
          <a:extLst>
            <a:ext uri="{FF2B5EF4-FFF2-40B4-BE49-F238E27FC236}">
              <a16:creationId xmlns:a16="http://schemas.microsoft.com/office/drawing/2014/main" id="{ECBF5EA0-25C5-46F0-81FE-F0A59E992B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40" name="AutoShape 4">
          <a:extLst>
            <a:ext uri="{FF2B5EF4-FFF2-40B4-BE49-F238E27FC236}">
              <a16:creationId xmlns:a16="http://schemas.microsoft.com/office/drawing/2014/main" id="{F1718453-4777-491E-B998-E80C90F42D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41" name="AutoShape 4">
          <a:extLst>
            <a:ext uri="{FF2B5EF4-FFF2-40B4-BE49-F238E27FC236}">
              <a16:creationId xmlns:a16="http://schemas.microsoft.com/office/drawing/2014/main" id="{C77E0812-574F-4FDA-A48A-D752868AF4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42" name="AutoShape 4">
          <a:extLst>
            <a:ext uri="{FF2B5EF4-FFF2-40B4-BE49-F238E27FC236}">
              <a16:creationId xmlns:a16="http://schemas.microsoft.com/office/drawing/2014/main" id="{B6A8E241-A4C9-4B5C-BC3C-BCD4EE1BE2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43" name="AutoShape 4">
          <a:extLst>
            <a:ext uri="{FF2B5EF4-FFF2-40B4-BE49-F238E27FC236}">
              <a16:creationId xmlns:a16="http://schemas.microsoft.com/office/drawing/2014/main" id="{FA31052E-1A07-4512-8FC4-4EE39F6B4E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44" name="AutoShape 4">
          <a:extLst>
            <a:ext uri="{FF2B5EF4-FFF2-40B4-BE49-F238E27FC236}">
              <a16:creationId xmlns:a16="http://schemas.microsoft.com/office/drawing/2014/main" id="{900DF8BC-FD2D-4812-BFDE-A4D703C0AB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2BBFC65F-70BA-483E-AC66-0117386D6B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46" name="AutoShape 4">
          <a:extLst>
            <a:ext uri="{FF2B5EF4-FFF2-40B4-BE49-F238E27FC236}">
              <a16:creationId xmlns:a16="http://schemas.microsoft.com/office/drawing/2014/main" id="{2277B731-9632-406E-944F-7DBC9FA56E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47" name="AutoShape 4">
          <a:extLst>
            <a:ext uri="{FF2B5EF4-FFF2-40B4-BE49-F238E27FC236}">
              <a16:creationId xmlns:a16="http://schemas.microsoft.com/office/drawing/2014/main" id="{E2C4534A-C4C5-486C-A322-571A69647D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48" name="AutoShape 4">
          <a:extLst>
            <a:ext uri="{FF2B5EF4-FFF2-40B4-BE49-F238E27FC236}">
              <a16:creationId xmlns:a16="http://schemas.microsoft.com/office/drawing/2014/main" id="{21EE41A2-0392-4548-BCE5-BD2761112A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49" name="AutoShape 4">
          <a:extLst>
            <a:ext uri="{FF2B5EF4-FFF2-40B4-BE49-F238E27FC236}">
              <a16:creationId xmlns:a16="http://schemas.microsoft.com/office/drawing/2014/main" id="{83C20898-F462-48CF-9E31-F18F02BF3A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50" name="AutoShape 4">
          <a:extLst>
            <a:ext uri="{FF2B5EF4-FFF2-40B4-BE49-F238E27FC236}">
              <a16:creationId xmlns:a16="http://schemas.microsoft.com/office/drawing/2014/main" id="{D04FC0EB-360D-4E67-BEB8-BB93288BFA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51" name="AutoShape 4">
          <a:extLst>
            <a:ext uri="{FF2B5EF4-FFF2-40B4-BE49-F238E27FC236}">
              <a16:creationId xmlns:a16="http://schemas.microsoft.com/office/drawing/2014/main" id="{5599409A-1477-4EA6-9E48-F7C14D6154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C9D5CCB1-E0A6-4860-9817-1A9AA96E33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53" name="AutoShape 4">
          <a:extLst>
            <a:ext uri="{FF2B5EF4-FFF2-40B4-BE49-F238E27FC236}">
              <a16:creationId xmlns:a16="http://schemas.microsoft.com/office/drawing/2014/main" id="{2AF85EDF-8203-454B-998B-3BB1CF5B40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54" name="AutoShape 4">
          <a:extLst>
            <a:ext uri="{FF2B5EF4-FFF2-40B4-BE49-F238E27FC236}">
              <a16:creationId xmlns:a16="http://schemas.microsoft.com/office/drawing/2014/main" id="{23770879-F00A-4B32-A4AD-361885AF67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55" name="AutoShape 4">
          <a:extLst>
            <a:ext uri="{FF2B5EF4-FFF2-40B4-BE49-F238E27FC236}">
              <a16:creationId xmlns:a16="http://schemas.microsoft.com/office/drawing/2014/main" id="{27501E8B-2472-4EA0-B6DE-852B705BF8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56" name="AutoShape 4">
          <a:extLst>
            <a:ext uri="{FF2B5EF4-FFF2-40B4-BE49-F238E27FC236}">
              <a16:creationId xmlns:a16="http://schemas.microsoft.com/office/drawing/2014/main" id="{E8C628B2-CB85-467B-8F64-1865B6AD06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157" name="AutoShape 4">
          <a:extLst>
            <a:ext uri="{FF2B5EF4-FFF2-40B4-BE49-F238E27FC236}">
              <a16:creationId xmlns:a16="http://schemas.microsoft.com/office/drawing/2014/main" id="{D19893C6-9988-4029-B267-37E9283ACE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158" name="AutoShape 4">
          <a:extLst>
            <a:ext uri="{FF2B5EF4-FFF2-40B4-BE49-F238E27FC236}">
              <a16:creationId xmlns:a16="http://schemas.microsoft.com/office/drawing/2014/main" id="{FBE7E3A9-7C8C-468A-9C6E-54099BE57D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A80AE407-DC7C-4F49-AC3D-9C4EF4BFC5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638175</xdr:colOff>
      <xdr:row>26</xdr:row>
      <xdr:rowOff>0</xdr:rowOff>
    </xdr:to>
    <xdr:sp macro="" textlink="">
      <xdr:nvSpPr>
        <xdr:cNvPr id="1160" name="AutoShape 4">
          <a:extLst>
            <a:ext uri="{FF2B5EF4-FFF2-40B4-BE49-F238E27FC236}">
              <a16:creationId xmlns:a16="http://schemas.microsoft.com/office/drawing/2014/main" id="{2814F632-EE6A-4DE3-90CE-71674B627E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2964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61" name="AutoShape 4">
          <a:extLst>
            <a:ext uri="{FF2B5EF4-FFF2-40B4-BE49-F238E27FC236}">
              <a16:creationId xmlns:a16="http://schemas.microsoft.com/office/drawing/2014/main" id="{3344AEA0-1E08-4AA0-93F9-156B749FB1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62" name="AutoShape 4">
          <a:extLst>
            <a:ext uri="{FF2B5EF4-FFF2-40B4-BE49-F238E27FC236}">
              <a16:creationId xmlns:a16="http://schemas.microsoft.com/office/drawing/2014/main" id="{4B2CBB47-8FEB-4A64-A457-5EC922F33B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63" name="AutoShape 4">
          <a:extLst>
            <a:ext uri="{FF2B5EF4-FFF2-40B4-BE49-F238E27FC236}">
              <a16:creationId xmlns:a16="http://schemas.microsoft.com/office/drawing/2014/main" id="{CC0B0CC8-5CFB-493D-A907-A6CBFBCA2A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64" name="AutoShape 4">
          <a:extLst>
            <a:ext uri="{FF2B5EF4-FFF2-40B4-BE49-F238E27FC236}">
              <a16:creationId xmlns:a16="http://schemas.microsoft.com/office/drawing/2014/main" id="{FA7F4626-5772-41A2-96B2-888474A174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65" name="AutoShape 4">
          <a:extLst>
            <a:ext uri="{FF2B5EF4-FFF2-40B4-BE49-F238E27FC236}">
              <a16:creationId xmlns:a16="http://schemas.microsoft.com/office/drawing/2014/main" id="{66AE1CBA-562F-4E71-834F-29DCD2DD1F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B04230AE-FDF2-47BD-954B-CCBD4B8C2E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67" name="AutoShape 4">
          <a:extLst>
            <a:ext uri="{FF2B5EF4-FFF2-40B4-BE49-F238E27FC236}">
              <a16:creationId xmlns:a16="http://schemas.microsoft.com/office/drawing/2014/main" id="{B486282A-2F11-447D-8136-A32B2E6B24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68" name="AutoShape 4">
          <a:extLst>
            <a:ext uri="{FF2B5EF4-FFF2-40B4-BE49-F238E27FC236}">
              <a16:creationId xmlns:a16="http://schemas.microsoft.com/office/drawing/2014/main" id="{76A240FB-4A8D-429B-936B-06521BE103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69" name="AutoShape 4">
          <a:extLst>
            <a:ext uri="{FF2B5EF4-FFF2-40B4-BE49-F238E27FC236}">
              <a16:creationId xmlns:a16="http://schemas.microsoft.com/office/drawing/2014/main" id="{B9D87A4F-3F49-4204-999D-5EB9C35053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70" name="AutoShape 4">
          <a:extLst>
            <a:ext uri="{FF2B5EF4-FFF2-40B4-BE49-F238E27FC236}">
              <a16:creationId xmlns:a16="http://schemas.microsoft.com/office/drawing/2014/main" id="{3A513DF0-D903-4820-9016-23195C5020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71" name="AutoShape 4">
          <a:extLst>
            <a:ext uri="{FF2B5EF4-FFF2-40B4-BE49-F238E27FC236}">
              <a16:creationId xmlns:a16="http://schemas.microsoft.com/office/drawing/2014/main" id="{14EC9A6A-D30B-4F60-89F6-DBB566445F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72" name="AutoShape 4">
          <a:extLst>
            <a:ext uri="{FF2B5EF4-FFF2-40B4-BE49-F238E27FC236}">
              <a16:creationId xmlns:a16="http://schemas.microsoft.com/office/drawing/2014/main" id="{F6A38B10-5CB0-49DF-84CC-75DE223A9F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E3E88C2C-F7A9-4565-9B7B-968BE5BFAF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74" name="AutoShape 4">
          <a:extLst>
            <a:ext uri="{FF2B5EF4-FFF2-40B4-BE49-F238E27FC236}">
              <a16:creationId xmlns:a16="http://schemas.microsoft.com/office/drawing/2014/main" id="{EDA0DD3C-CA08-482E-8D6A-2C6E7F5F47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75" name="AutoShape 4">
          <a:extLst>
            <a:ext uri="{FF2B5EF4-FFF2-40B4-BE49-F238E27FC236}">
              <a16:creationId xmlns:a16="http://schemas.microsoft.com/office/drawing/2014/main" id="{58E501A6-B288-44E1-A42B-092B3E905E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76" name="AutoShape 4">
          <a:extLst>
            <a:ext uri="{FF2B5EF4-FFF2-40B4-BE49-F238E27FC236}">
              <a16:creationId xmlns:a16="http://schemas.microsoft.com/office/drawing/2014/main" id="{A315F70E-A65D-4C4A-80B7-FFB90761FF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1009650</xdr:colOff>
      <xdr:row>26</xdr:row>
      <xdr:rowOff>0</xdr:rowOff>
    </xdr:to>
    <xdr:sp macro="" textlink="">
      <xdr:nvSpPr>
        <xdr:cNvPr id="1177" name="AutoShape 4">
          <a:extLst>
            <a:ext uri="{FF2B5EF4-FFF2-40B4-BE49-F238E27FC236}">
              <a16:creationId xmlns:a16="http://schemas.microsoft.com/office/drawing/2014/main" id="{69866479-083F-4EB9-86DE-D0D49DB53D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458200" cy="69246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us@sensorsdata.com" TargetMode="External"/><Relationship Id="rId13" Type="http://schemas.openxmlformats.org/officeDocument/2006/relationships/hyperlink" Target="mailto:wayni423@gmail.com" TargetMode="External"/><Relationship Id="rId18" Type="http://schemas.openxmlformats.org/officeDocument/2006/relationships/hyperlink" Target="mailto:katniss.wu@interasialine.com" TargetMode="External"/><Relationship Id="rId3" Type="http://schemas.openxmlformats.org/officeDocument/2006/relationships/hyperlink" Target="mailto:stacy.yang@amadeus.com" TargetMode="External"/><Relationship Id="rId21" Type="http://schemas.openxmlformats.org/officeDocument/2006/relationships/hyperlink" Target="mailto:mikilee@marubeni-cks.com.tw" TargetMode="External"/><Relationship Id="rId7" Type="http://schemas.openxmlformats.org/officeDocument/2006/relationships/hyperlink" Target="mailto:danti-f@marubeni.com" TargetMode="External"/><Relationship Id="rId12" Type="http://schemas.openxmlformats.org/officeDocument/2006/relationships/hyperlink" Target="mailto:maru@tangeassociates.com" TargetMode="External"/><Relationship Id="rId17" Type="http://schemas.openxmlformats.org/officeDocument/2006/relationships/hyperlink" Target="mailto:ivy.tang@pernod-ricard.com" TargetMode="External"/><Relationship Id="rId25" Type="http://schemas.openxmlformats.org/officeDocument/2006/relationships/printerSettings" Target="../printerSettings/printerSettings6.bin"/><Relationship Id="rId2" Type="http://schemas.openxmlformats.org/officeDocument/2006/relationships/hyperlink" Target="mailto:mandy-c@marubeni-cye.com" TargetMode="External"/><Relationship Id="rId16" Type="http://schemas.openxmlformats.org/officeDocument/2006/relationships/hyperlink" Target="mailto:kerrytsai@starlux-airlines.com" TargetMode="External"/><Relationship Id="rId20" Type="http://schemas.openxmlformats.org/officeDocument/2006/relationships/hyperlink" Target="mailto:Emily-Huang@marubeni.com" TargetMode="External"/><Relationship Id="rId1" Type="http://schemas.openxmlformats.org/officeDocument/2006/relationships/hyperlink" Target="mailto:reception.hungsheng@spacesworks.com" TargetMode="External"/><Relationship Id="rId6" Type="http://schemas.openxmlformats.org/officeDocument/2006/relationships/hyperlink" Target="mailto:anitachien@corp.bri.co.id" TargetMode="External"/><Relationship Id="rId11" Type="http://schemas.openxmlformats.org/officeDocument/2006/relationships/hyperlink" Target="mailto:jackchang@starlux-airlines.com" TargetMode="External"/><Relationship Id="rId24" Type="http://schemas.openxmlformats.org/officeDocument/2006/relationships/hyperlink" Target="mailto:arie.1@17.media" TargetMode="External"/><Relationship Id="rId5" Type="http://schemas.openxmlformats.org/officeDocument/2006/relationships/hyperlink" Target="mailto:y.chen@newart-ir.jp" TargetMode="External"/><Relationship Id="rId15" Type="http://schemas.openxmlformats.org/officeDocument/2006/relationships/hyperlink" Target="mailto:tina.liu@hytechtech.com" TargetMode="External"/><Relationship Id="rId23" Type="http://schemas.openxmlformats.org/officeDocument/2006/relationships/hyperlink" Target="mailto:lilihu@17.media" TargetMode="External"/><Relationship Id="rId10" Type="http://schemas.openxmlformats.org/officeDocument/2006/relationships/hyperlink" Target="mailto:nico.lin@hytechtech.com" TargetMode="External"/><Relationship Id="rId19" Type="http://schemas.openxmlformats.org/officeDocument/2006/relationships/hyperlink" Target="mailto:yulia@ana.co.jp" TargetMode="External"/><Relationship Id="rId4" Type="http://schemas.openxmlformats.org/officeDocument/2006/relationships/hyperlink" Target="mailto:jimmychiu@gofederal.com.tw" TargetMode="External"/><Relationship Id="rId9" Type="http://schemas.openxmlformats.org/officeDocument/2006/relationships/hyperlink" Target="mailto:wudi@sensorsdata.com" TargetMode="External"/><Relationship Id="rId14" Type="http://schemas.openxmlformats.org/officeDocument/2006/relationships/hyperlink" Target="mailto:Abbie.Hsing@hytechtech.com" TargetMode="External"/><Relationship Id="rId22" Type="http://schemas.openxmlformats.org/officeDocument/2006/relationships/hyperlink" Target="mailto:miffy@17.medi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view="pageBreakPreview" zoomScale="70" zoomScaleNormal="70" zoomScaleSheetLayoutView="70" workbookViewId="0">
      <pane ySplit="1" topLeftCell="A2" activePane="bottomLeft" state="frozen"/>
      <selection activeCell="A2" sqref="A2"/>
      <selection pane="bottomLeft" activeCell="E49" sqref="E49"/>
    </sheetView>
  </sheetViews>
  <sheetFormatPr defaultRowHeight="34.15" customHeight="1"/>
  <cols>
    <col min="1" max="1" width="9" style="34" customWidth="1"/>
    <col min="2" max="2" width="12.625" style="34" customWidth="1"/>
    <col min="3" max="4" width="11.375" style="34" customWidth="1"/>
    <col min="5" max="5" width="50.75" style="80" customWidth="1"/>
    <col min="6" max="6" width="40.625" style="80" hidden="1" customWidth="1"/>
    <col min="7" max="7" width="24.375" style="34" hidden="1" customWidth="1"/>
    <col min="8" max="8" width="18.125" style="34" hidden="1" customWidth="1"/>
    <col min="9" max="9" width="30.625" style="34" hidden="1" customWidth="1"/>
    <col min="10" max="10" width="22.75" style="34" hidden="1" customWidth="1"/>
    <col min="11" max="11" width="10.625" style="34" hidden="1" customWidth="1"/>
    <col min="12" max="12" width="8.625" style="34" hidden="1" customWidth="1"/>
    <col min="13" max="13" width="14.625" style="34" hidden="1" customWidth="1"/>
    <col min="14" max="14" width="38.125" style="34" customWidth="1"/>
    <col min="15" max="15" width="15.625" style="34" customWidth="1"/>
    <col min="16" max="17" width="10.625" style="34" customWidth="1"/>
    <col min="18" max="18" width="15.625" style="34" customWidth="1"/>
    <col min="19" max="256" width="9" style="34"/>
    <col min="257" max="257" width="6.625" style="34" customWidth="1"/>
    <col min="258" max="258" width="7.875" style="34" customWidth="1"/>
    <col min="259" max="259" width="8.375" style="34" customWidth="1"/>
    <col min="260" max="260" width="8.125" style="34" customWidth="1"/>
    <col min="261" max="261" width="40.375" style="34" customWidth="1"/>
    <col min="262" max="262" width="16.25" style="34" customWidth="1"/>
    <col min="263" max="263" width="14.875" style="34" customWidth="1"/>
    <col min="264" max="264" width="8.625" style="34" customWidth="1"/>
    <col min="265" max="265" width="15.875" style="34" customWidth="1"/>
    <col min="266" max="266" width="13.5" style="34" customWidth="1"/>
    <col min="267" max="269" width="0" style="34" hidden="1" customWidth="1"/>
    <col min="270" max="270" width="24.625" style="34" customWidth="1"/>
    <col min="271" max="271" width="15.625" style="34" customWidth="1"/>
    <col min="272" max="273" width="10.625" style="34" customWidth="1"/>
    <col min="274" max="274" width="15.625" style="34" customWidth="1"/>
    <col min="275" max="512" width="9" style="34"/>
    <col min="513" max="513" width="6.625" style="34" customWidth="1"/>
    <col min="514" max="514" width="7.875" style="34" customWidth="1"/>
    <col min="515" max="515" width="8.375" style="34" customWidth="1"/>
    <col min="516" max="516" width="8.125" style="34" customWidth="1"/>
    <col min="517" max="517" width="40.375" style="34" customWidth="1"/>
    <col min="518" max="518" width="16.25" style="34" customWidth="1"/>
    <col min="519" max="519" width="14.875" style="34" customWidth="1"/>
    <col min="520" max="520" width="8.625" style="34" customWidth="1"/>
    <col min="521" max="521" width="15.875" style="34" customWidth="1"/>
    <col min="522" max="522" width="13.5" style="34" customWidth="1"/>
    <col min="523" max="525" width="0" style="34" hidden="1" customWidth="1"/>
    <col min="526" max="526" width="24.625" style="34" customWidth="1"/>
    <col min="527" max="527" width="15.625" style="34" customWidth="1"/>
    <col min="528" max="529" width="10.625" style="34" customWidth="1"/>
    <col min="530" max="530" width="15.625" style="34" customWidth="1"/>
    <col min="531" max="768" width="9" style="34"/>
    <col min="769" max="769" width="6.625" style="34" customWidth="1"/>
    <col min="770" max="770" width="7.875" style="34" customWidth="1"/>
    <col min="771" max="771" width="8.375" style="34" customWidth="1"/>
    <col min="772" max="772" width="8.125" style="34" customWidth="1"/>
    <col min="773" max="773" width="40.375" style="34" customWidth="1"/>
    <col min="774" max="774" width="16.25" style="34" customWidth="1"/>
    <col min="775" max="775" width="14.875" style="34" customWidth="1"/>
    <col min="776" max="776" width="8.625" style="34" customWidth="1"/>
    <col min="777" max="777" width="15.875" style="34" customWidth="1"/>
    <col min="778" max="778" width="13.5" style="34" customWidth="1"/>
    <col min="779" max="781" width="0" style="34" hidden="1" customWidth="1"/>
    <col min="782" max="782" width="24.625" style="34" customWidth="1"/>
    <col min="783" max="783" width="15.625" style="34" customWidth="1"/>
    <col min="784" max="785" width="10.625" style="34" customWidth="1"/>
    <col min="786" max="786" width="15.625" style="34" customWidth="1"/>
    <col min="787" max="1024" width="9" style="34"/>
    <col min="1025" max="1025" width="6.625" style="34" customWidth="1"/>
    <col min="1026" max="1026" width="7.875" style="34" customWidth="1"/>
    <col min="1027" max="1027" width="8.375" style="34" customWidth="1"/>
    <col min="1028" max="1028" width="8.125" style="34" customWidth="1"/>
    <col min="1029" max="1029" width="40.375" style="34" customWidth="1"/>
    <col min="1030" max="1030" width="16.25" style="34" customWidth="1"/>
    <col min="1031" max="1031" width="14.875" style="34" customWidth="1"/>
    <col min="1032" max="1032" width="8.625" style="34" customWidth="1"/>
    <col min="1033" max="1033" width="15.875" style="34" customWidth="1"/>
    <col min="1034" max="1034" width="13.5" style="34" customWidth="1"/>
    <col min="1035" max="1037" width="0" style="34" hidden="1" customWidth="1"/>
    <col min="1038" max="1038" width="24.625" style="34" customWidth="1"/>
    <col min="1039" max="1039" width="15.625" style="34" customWidth="1"/>
    <col min="1040" max="1041" width="10.625" style="34" customWidth="1"/>
    <col min="1042" max="1042" width="15.625" style="34" customWidth="1"/>
    <col min="1043" max="1280" width="9" style="34"/>
    <col min="1281" max="1281" width="6.625" style="34" customWidth="1"/>
    <col min="1282" max="1282" width="7.875" style="34" customWidth="1"/>
    <col min="1283" max="1283" width="8.375" style="34" customWidth="1"/>
    <col min="1284" max="1284" width="8.125" style="34" customWidth="1"/>
    <col min="1285" max="1285" width="40.375" style="34" customWidth="1"/>
    <col min="1286" max="1286" width="16.25" style="34" customWidth="1"/>
    <col min="1287" max="1287" width="14.875" style="34" customWidth="1"/>
    <col min="1288" max="1288" width="8.625" style="34" customWidth="1"/>
    <col min="1289" max="1289" width="15.875" style="34" customWidth="1"/>
    <col min="1290" max="1290" width="13.5" style="34" customWidth="1"/>
    <col min="1291" max="1293" width="0" style="34" hidden="1" customWidth="1"/>
    <col min="1294" max="1294" width="24.625" style="34" customWidth="1"/>
    <col min="1295" max="1295" width="15.625" style="34" customWidth="1"/>
    <col min="1296" max="1297" width="10.625" style="34" customWidth="1"/>
    <col min="1298" max="1298" width="15.625" style="34" customWidth="1"/>
    <col min="1299" max="1536" width="9" style="34"/>
    <col min="1537" max="1537" width="6.625" style="34" customWidth="1"/>
    <col min="1538" max="1538" width="7.875" style="34" customWidth="1"/>
    <col min="1539" max="1539" width="8.375" style="34" customWidth="1"/>
    <col min="1540" max="1540" width="8.125" style="34" customWidth="1"/>
    <col min="1541" max="1541" width="40.375" style="34" customWidth="1"/>
    <col min="1542" max="1542" width="16.25" style="34" customWidth="1"/>
    <col min="1543" max="1543" width="14.875" style="34" customWidth="1"/>
    <col min="1544" max="1544" width="8.625" style="34" customWidth="1"/>
    <col min="1545" max="1545" width="15.875" style="34" customWidth="1"/>
    <col min="1546" max="1546" width="13.5" style="34" customWidth="1"/>
    <col min="1547" max="1549" width="0" style="34" hidden="1" customWidth="1"/>
    <col min="1550" max="1550" width="24.625" style="34" customWidth="1"/>
    <col min="1551" max="1551" width="15.625" style="34" customWidth="1"/>
    <col min="1552" max="1553" width="10.625" style="34" customWidth="1"/>
    <col min="1554" max="1554" width="15.625" style="34" customWidth="1"/>
    <col min="1555" max="1792" width="9" style="34"/>
    <col min="1793" max="1793" width="6.625" style="34" customWidth="1"/>
    <col min="1794" max="1794" width="7.875" style="34" customWidth="1"/>
    <col min="1795" max="1795" width="8.375" style="34" customWidth="1"/>
    <col min="1796" max="1796" width="8.125" style="34" customWidth="1"/>
    <col min="1797" max="1797" width="40.375" style="34" customWidth="1"/>
    <col min="1798" max="1798" width="16.25" style="34" customWidth="1"/>
    <col min="1799" max="1799" width="14.875" style="34" customWidth="1"/>
    <col min="1800" max="1800" width="8.625" style="34" customWidth="1"/>
    <col min="1801" max="1801" width="15.875" style="34" customWidth="1"/>
    <col min="1802" max="1802" width="13.5" style="34" customWidth="1"/>
    <col min="1803" max="1805" width="0" style="34" hidden="1" customWidth="1"/>
    <col min="1806" max="1806" width="24.625" style="34" customWidth="1"/>
    <col min="1807" max="1807" width="15.625" style="34" customWidth="1"/>
    <col min="1808" max="1809" width="10.625" style="34" customWidth="1"/>
    <col min="1810" max="1810" width="15.625" style="34" customWidth="1"/>
    <col min="1811" max="2048" width="9" style="34"/>
    <col min="2049" max="2049" width="6.625" style="34" customWidth="1"/>
    <col min="2050" max="2050" width="7.875" style="34" customWidth="1"/>
    <col min="2051" max="2051" width="8.375" style="34" customWidth="1"/>
    <col min="2052" max="2052" width="8.125" style="34" customWidth="1"/>
    <col min="2053" max="2053" width="40.375" style="34" customWidth="1"/>
    <col min="2054" max="2054" width="16.25" style="34" customWidth="1"/>
    <col min="2055" max="2055" width="14.875" style="34" customWidth="1"/>
    <col min="2056" max="2056" width="8.625" style="34" customWidth="1"/>
    <col min="2057" max="2057" width="15.875" style="34" customWidth="1"/>
    <col min="2058" max="2058" width="13.5" style="34" customWidth="1"/>
    <col min="2059" max="2061" width="0" style="34" hidden="1" customWidth="1"/>
    <col min="2062" max="2062" width="24.625" style="34" customWidth="1"/>
    <col min="2063" max="2063" width="15.625" style="34" customWidth="1"/>
    <col min="2064" max="2065" width="10.625" style="34" customWidth="1"/>
    <col min="2066" max="2066" width="15.625" style="34" customWidth="1"/>
    <col min="2067" max="2304" width="9" style="34"/>
    <col min="2305" max="2305" width="6.625" style="34" customWidth="1"/>
    <col min="2306" max="2306" width="7.875" style="34" customWidth="1"/>
    <col min="2307" max="2307" width="8.375" style="34" customWidth="1"/>
    <col min="2308" max="2308" width="8.125" style="34" customWidth="1"/>
    <col min="2309" max="2309" width="40.375" style="34" customWidth="1"/>
    <col min="2310" max="2310" width="16.25" style="34" customWidth="1"/>
    <col min="2311" max="2311" width="14.875" style="34" customWidth="1"/>
    <col min="2312" max="2312" width="8.625" style="34" customWidth="1"/>
    <col min="2313" max="2313" width="15.875" style="34" customWidth="1"/>
    <col min="2314" max="2314" width="13.5" style="34" customWidth="1"/>
    <col min="2315" max="2317" width="0" style="34" hidden="1" customWidth="1"/>
    <col min="2318" max="2318" width="24.625" style="34" customWidth="1"/>
    <col min="2319" max="2319" width="15.625" style="34" customWidth="1"/>
    <col min="2320" max="2321" width="10.625" style="34" customWidth="1"/>
    <col min="2322" max="2322" width="15.625" style="34" customWidth="1"/>
    <col min="2323" max="2560" width="9" style="34"/>
    <col min="2561" max="2561" width="6.625" style="34" customWidth="1"/>
    <col min="2562" max="2562" width="7.875" style="34" customWidth="1"/>
    <col min="2563" max="2563" width="8.375" style="34" customWidth="1"/>
    <col min="2564" max="2564" width="8.125" style="34" customWidth="1"/>
    <col min="2565" max="2565" width="40.375" style="34" customWidth="1"/>
    <col min="2566" max="2566" width="16.25" style="34" customWidth="1"/>
    <col min="2567" max="2567" width="14.875" style="34" customWidth="1"/>
    <col min="2568" max="2568" width="8.625" style="34" customWidth="1"/>
    <col min="2569" max="2569" width="15.875" style="34" customWidth="1"/>
    <col min="2570" max="2570" width="13.5" style="34" customWidth="1"/>
    <col min="2571" max="2573" width="0" style="34" hidden="1" customWidth="1"/>
    <col min="2574" max="2574" width="24.625" style="34" customWidth="1"/>
    <col min="2575" max="2575" width="15.625" style="34" customWidth="1"/>
    <col min="2576" max="2577" width="10.625" style="34" customWidth="1"/>
    <col min="2578" max="2578" width="15.625" style="34" customWidth="1"/>
    <col min="2579" max="2816" width="9" style="34"/>
    <col min="2817" max="2817" width="6.625" style="34" customWidth="1"/>
    <col min="2818" max="2818" width="7.875" style="34" customWidth="1"/>
    <col min="2819" max="2819" width="8.375" style="34" customWidth="1"/>
    <col min="2820" max="2820" width="8.125" style="34" customWidth="1"/>
    <col min="2821" max="2821" width="40.375" style="34" customWidth="1"/>
    <col min="2822" max="2822" width="16.25" style="34" customWidth="1"/>
    <col min="2823" max="2823" width="14.875" style="34" customWidth="1"/>
    <col min="2824" max="2824" width="8.625" style="34" customWidth="1"/>
    <col min="2825" max="2825" width="15.875" style="34" customWidth="1"/>
    <col min="2826" max="2826" width="13.5" style="34" customWidth="1"/>
    <col min="2827" max="2829" width="0" style="34" hidden="1" customWidth="1"/>
    <col min="2830" max="2830" width="24.625" style="34" customWidth="1"/>
    <col min="2831" max="2831" width="15.625" style="34" customWidth="1"/>
    <col min="2832" max="2833" width="10.625" style="34" customWidth="1"/>
    <col min="2834" max="2834" width="15.625" style="34" customWidth="1"/>
    <col min="2835" max="3072" width="9" style="34"/>
    <col min="3073" max="3073" width="6.625" style="34" customWidth="1"/>
    <col min="3074" max="3074" width="7.875" style="34" customWidth="1"/>
    <col min="3075" max="3075" width="8.375" style="34" customWidth="1"/>
    <col min="3076" max="3076" width="8.125" style="34" customWidth="1"/>
    <col min="3077" max="3077" width="40.375" style="34" customWidth="1"/>
    <col min="3078" max="3078" width="16.25" style="34" customWidth="1"/>
    <col min="3079" max="3079" width="14.875" style="34" customWidth="1"/>
    <col min="3080" max="3080" width="8.625" style="34" customWidth="1"/>
    <col min="3081" max="3081" width="15.875" style="34" customWidth="1"/>
    <col min="3082" max="3082" width="13.5" style="34" customWidth="1"/>
    <col min="3083" max="3085" width="0" style="34" hidden="1" customWidth="1"/>
    <col min="3086" max="3086" width="24.625" style="34" customWidth="1"/>
    <col min="3087" max="3087" width="15.625" style="34" customWidth="1"/>
    <col min="3088" max="3089" width="10.625" style="34" customWidth="1"/>
    <col min="3090" max="3090" width="15.625" style="34" customWidth="1"/>
    <col min="3091" max="3328" width="9" style="34"/>
    <col min="3329" max="3329" width="6.625" style="34" customWidth="1"/>
    <col min="3330" max="3330" width="7.875" style="34" customWidth="1"/>
    <col min="3331" max="3331" width="8.375" style="34" customWidth="1"/>
    <col min="3332" max="3332" width="8.125" style="34" customWidth="1"/>
    <col min="3333" max="3333" width="40.375" style="34" customWidth="1"/>
    <col min="3334" max="3334" width="16.25" style="34" customWidth="1"/>
    <col min="3335" max="3335" width="14.875" style="34" customWidth="1"/>
    <col min="3336" max="3336" width="8.625" style="34" customWidth="1"/>
    <col min="3337" max="3337" width="15.875" style="34" customWidth="1"/>
    <col min="3338" max="3338" width="13.5" style="34" customWidth="1"/>
    <col min="3339" max="3341" width="0" style="34" hidden="1" customWidth="1"/>
    <col min="3342" max="3342" width="24.625" style="34" customWidth="1"/>
    <col min="3343" max="3343" width="15.625" style="34" customWidth="1"/>
    <col min="3344" max="3345" width="10.625" style="34" customWidth="1"/>
    <col min="3346" max="3346" width="15.625" style="34" customWidth="1"/>
    <col min="3347" max="3584" width="9" style="34"/>
    <col min="3585" max="3585" width="6.625" style="34" customWidth="1"/>
    <col min="3586" max="3586" width="7.875" style="34" customWidth="1"/>
    <col min="3587" max="3587" width="8.375" style="34" customWidth="1"/>
    <col min="3588" max="3588" width="8.125" style="34" customWidth="1"/>
    <col min="3589" max="3589" width="40.375" style="34" customWidth="1"/>
    <col min="3590" max="3590" width="16.25" style="34" customWidth="1"/>
    <col min="3591" max="3591" width="14.875" style="34" customWidth="1"/>
    <col min="3592" max="3592" width="8.625" style="34" customWidth="1"/>
    <col min="3593" max="3593" width="15.875" style="34" customWidth="1"/>
    <col min="3594" max="3594" width="13.5" style="34" customWidth="1"/>
    <col min="3595" max="3597" width="0" style="34" hidden="1" customWidth="1"/>
    <col min="3598" max="3598" width="24.625" style="34" customWidth="1"/>
    <col min="3599" max="3599" width="15.625" style="34" customWidth="1"/>
    <col min="3600" max="3601" width="10.625" style="34" customWidth="1"/>
    <col min="3602" max="3602" width="15.625" style="34" customWidth="1"/>
    <col min="3603" max="3840" width="9" style="34"/>
    <col min="3841" max="3841" width="6.625" style="34" customWidth="1"/>
    <col min="3842" max="3842" width="7.875" style="34" customWidth="1"/>
    <col min="3843" max="3843" width="8.375" style="34" customWidth="1"/>
    <col min="3844" max="3844" width="8.125" style="34" customWidth="1"/>
    <col min="3845" max="3845" width="40.375" style="34" customWidth="1"/>
    <col min="3846" max="3846" width="16.25" style="34" customWidth="1"/>
    <col min="3847" max="3847" width="14.875" style="34" customWidth="1"/>
    <col min="3848" max="3848" width="8.625" style="34" customWidth="1"/>
    <col min="3849" max="3849" width="15.875" style="34" customWidth="1"/>
    <col min="3850" max="3850" width="13.5" style="34" customWidth="1"/>
    <col min="3851" max="3853" width="0" style="34" hidden="1" customWidth="1"/>
    <col min="3854" max="3854" width="24.625" style="34" customWidth="1"/>
    <col min="3855" max="3855" width="15.625" style="34" customWidth="1"/>
    <col min="3856" max="3857" width="10.625" style="34" customWidth="1"/>
    <col min="3858" max="3858" width="15.625" style="34" customWidth="1"/>
    <col min="3859" max="4096" width="9" style="34"/>
    <col min="4097" max="4097" width="6.625" style="34" customWidth="1"/>
    <col min="4098" max="4098" width="7.875" style="34" customWidth="1"/>
    <col min="4099" max="4099" width="8.375" style="34" customWidth="1"/>
    <col min="4100" max="4100" width="8.125" style="34" customWidth="1"/>
    <col min="4101" max="4101" width="40.375" style="34" customWidth="1"/>
    <col min="4102" max="4102" width="16.25" style="34" customWidth="1"/>
    <col min="4103" max="4103" width="14.875" style="34" customWidth="1"/>
    <col min="4104" max="4104" width="8.625" style="34" customWidth="1"/>
    <col min="4105" max="4105" width="15.875" style="34" customWidth="1"/>
    <col min="4106" max="4106" width="13.5" style="34" customWidth="1"/>
    <col min="4107" max="4109" width="0" style="34" hidden="1" customWidth="1"/>
    <col min="4110" max="4110" width="24.625" style="34" customWidth="1"/>
    <col min="4111" max="4111" width="15.625" style="34" customWidth="1"/>
    <col min="4112" max="4113" width="10.625" style="34" customWidth="1"/>
    <col min="4114" max="4114" width="15.625" style="34" customWidth="1"/>
    <col min="4115" max="4352" width="9" style="34"/>
    <col min="4353" max="4353" width="6.625" style="34" customWidth="1"/>
    <col min="4354" max="4354" width="7.875" style="34" customWidth="1"/>
    <col min="4355" max="4355" width="8.375" style="34" customWidth="1"/>
    <col min="4356" max="4356" width="8.125" style="34" customWidth="1"/>
    <col min="4357" max="4357" width="40.375" style="34" customWidth="1"/>
    <col min="4358" max="4358" width="16.25" style="34" customWidth="1"/>
    <col min="4359" max="4359" width="14.875" style="34" customWidth="1"/>
    <col min="4360" max="4360" width="8.625" style="34" customWidth="1"/>
    <col min="4361" max="4361" width="15.875" style="34" customWidth="1"/>
    <col min="4362" max="4362" width="13.5" style="34" customWidth="1"/>
    <col min="4363" max="4365" width="0" style="34" hidden="1" customWidth="1"/>
    <col min="4366" max="4366" width="24.625" style="34" customWidth="1"/>
    <col min="4367" max="4367" width="15.625" style="34" customWidth="1"/>
    <col min="4368" max="4369" width="10.625" style="34" customWidth="1"/>
    <col min="4370" max="4370" width="15.625" style="34" customWidth="1"/>
    <col min="4371" max="4608" width="9" style="34"/>
    <col min="4609" max="4609" width="6.625" style="34" customWidth="1"/>
    <col min="4610" max="4610" width="7.875" style="34" customWidth="1"/>
    <col min="4611" max="4611" width="8.375" style="34" customWidth="1"/>
    <col min="4612" max="4612" width="8.125" style="34" customWidth="1"/>
    <col min="4613" max="4613" width="40.375" style="34" customWidth="1"/>
    <col min="4614" max="4614" width="16.25" style="34" customWidth="1"/>
    <col min="4615" max="4615" width="14.875" style="34" customWidth="1"/>
    <col min="4616" max="4616" width="8.625" style="34" customWidth="1"/>
    <col min="4617" max="4617" width="15.875" style="34" customWidth="1"/>
    <col min="4618" max="4618" width="13.5" style="34" customWidth="1"/>
    <col min="4619" max="4621" width="0" style="34" hidden="1" customWidth="1"/>
    <col min="4622" max="4622" width="24.625" style="34" customWidth="1"/>
    <col min="4623" max="4623" width="15.625" style="34" customWidth="1"/>
    <col min="4624" max="4625" width="10.625" style="34" customWidth="1"/>
    <col min="4626" max="4626" width="15.625" style="34" customWidth="1"/>
    <col min="4627" max="4864" width="9" style="34"/>
    <col min="4865" max="4865" width="6.625" style="34" customWidth="1"/>
    <col min="4866" max="4866" width="7.875" style="34" customWidth="1"/>
    <col min="4867" max="4867" width="8.375" style="34" customWidth="1"/>
    <col min="4868" max="4868" width="8.125" style="34" customWidth="1"/>
    <col min="4869" max="4869" width="40.375" style="34" customWidth="1"/>
    <col min="4870" max="4870" width="16.25" style="34" customWidth="1"/>
    <col min="4871" max="4871" width="14.875" style="34" customWidth="1"/>
    <col min="4872" max="4872" width="8.625" style="34" customWidth="1"/>
    <col min="4873" max="4873" width="15.875" style="34" customWidth="1"/>
    <col min="4874" max="4874" width="13.5" style="34" customWidth="1"/>
    <col min="4875" max="4877" width="0" style="34" hidden="1" customWidth="1"/>
    <col min="4878" max="4878" width="24.625" style="34" customWidth="1"/>
    <col min="4879" max="4879" width="15.625" style="34" customWidth="1"/>
    <col min="4880" max="4881" width="10.625" style="34" customWidth="1"/>
    <col min="4882" max="4882" width="15.625" style="34" customWidth="1"/>
    <col min="4883" max="5120" width="9" style="34"/>
    <col min="5121" max="5121" width="6.625" style="34" customWidth="1"/>
    <col min="5122" max="5122" width="7.875" style="34" customWidth="1"/>
    <col min="5123" max="5123" width="8.375" style="34" customWidth="1"/>
    <col min="5124" max="5124" width="8.125" style="34" customWidth="1"/>
    <col min="5125" max="5125" width="40.375" style="34" customWidth="1"/>
    <col min="5126" max="5126" width="16.25" style="34" customWidth="1"/>
    <col min="5127" max="5127" width="14.875" style="34" customWidth="1"/>
    <col min="5128" max="5128" width="8.625" style="34" customWidth="1"/>
    <col min="5129" max="5129" width="15.875" style="34" customWidth="1"/>
    <col min="5130" max="5130" width="13.5" style="34" customWidth="1"/>
    <col min="5131" max="5133" width="0" style="34" hidden="1" customWidth="1"/>
    <col min="5134" max="5134" width="24.625" style="34" customWidth="1"/>
    <col min="5135" max="5135" width="15.625" style="34" customWidth="1"/>
    <col min="5136" max="5137" width="10.625" style="34" customWidth="1"/>
    <col min="5138" max="5138" width="15.625" style="34" customWidth="1"/>
    <col min="5139" max="5376" width="9" style="34"/>
    <col min="5377" max="5377" width="6.625" style="34" customWidth="1"/>
    <col min="5378" max="5378" width="7.875" style="34" customWidth="1"/>
    <col min="5379" max="5379" width="8.375" style="34" customWidth="1"/>
    <col min="5380" max="5380" width="8.125" style="34" customWidth="1"/>
    <col min="5381" max="5381" width="40.375" style="34" customWidth="1"/>
    <col min="5382" max="5382" width="16.25" style="34" customWidth="1"/>
    <col min="5383" max="5383" width="14.875" style="34" customWidth="1"/>
    <col min="5384" max="5384" width="8.625" style="34" customWidth="1"/>
    <col min="5385" max="5385" width="15.875" style="34" customWidth="1"/>
    <col min="5386" max="5386" width="13.5" style="34" customWidth="1"/>
    <col min="5387" max="5389" width="0" style="34" hidden="1" customWidth="1"/>
    <col min="5390" max="5390" width="24.625" style="34" customWidth="1"/>
    <col min="5391" max="5391" width="15.625" style="34" customWidth="1"/>
    <col min="5392" max="5393" width="10.625" style="34" customWidth="1"/>
    <col min="5394" max="5394" width="15.625" style="34" customWidth="1"/>
    <col min="5395" max="5632" width="9" style="34"/>
    <col min="5633" max="5633" width="6.625" style="34" customWidth="1"/>
    <col min="5634" max="5634" width="7.875" style="34" customWidth="1"/>
    <col min="5635" max="5635" width="8.375" style="34" customWidth="1"/>
    <col min="5636" max="5636" width="8.125" style="34" customWidth="1"/>
    <col min="5637" max="5637" width="40.375" style="34" customWidth="1"/>
    <col min="5638" max="5638" width="16.25" style="34" customWidth="1"/>
    <col min="5639" max="5639" width="14.875" style="34" customWidth="1"/>
    <col min="5640" max="5640" width="8.625" style="34" customWidth="1"/>
    <col min="5641" max="5641" width="15.875" style="34" customWidth="1"/>
    <col min="5642" max="5642" width="13.5" style="34" customWidth="1"/>
    <col min="5643" max="5645" width="0" style="34" hidden="1" customWidth="1"/>
    <col min="5646" max="5646" width="24.625" style="34" customWidth="1"/>
    <col min="5647" max="5647" width="15.625" style="34" customWidth="1"/>
    <col min="5648" max="5649" width="10.625" style="34" customWidth="1"/>
    <col min="5650" max="5650" width="15.625" style="34" customWidth="1"/>
    <col min="5651" max="5888" width="9" style="34"/>
    <col min="5889" max="5889" width="6.625" style="34" customWidth="1"/>
    <col min="5890" max="5890" width="7.875" style="34" customWidth="1"/>
    <col min="5891" max="5891" width="8.375" style="34" customWidth="1"/>
    <col min="5892" max="5892" width="8.125" style="34" customWidth="1"/>
    <col min="5893" max="5893" width="40.375" style="34" customWidth="1"/>
    <col min="5894" max="5894" width="16.25" style="34" customWidth="1"/>
    <col min="5895" max="5895" width="14.875" style="34" customWidth="1"/>
    <col min="5896" max="5896" width="8.625" style="34" customWidth="1"/>
    <col min="5897" max="5897" width="15.875" style="34" customWidth="1"/>
    <col min="5898" max="5898" width="13.5" style="34" customWidth="1"/>
    <col min="5899" max="5901" width="0" style="34" hidden="1" customWidth="1"/>
    <col min="5902" max="5902" width="24.625" style="34" customWidth="1"/>
    <col min="5903" max="5903" width="15.625" style="34" customWidth="1"/>
    <col min="5904" max="5905" width="10.625" style="34" customWidth="1"/>
    <col min="5906" max="5906" width="15.625" style="34" customWidth="1"/>
    <col min="5907" max="6144" width="9" style="34"/>
    <col min="6145" max="6145" width="6.625" style="34" customWidth="1"/>
    <col min="6146" max="6146" width="7.875" style="34" customWidth="1"/>
    <col min="6147" max="6147" width="8.375" style="34" customWidth="1"/>
    <col min="6148" max="6148" width="8.125" style="34" customWidth="1"/>
    <col min="6149" max="6149" width="40.375" style="34" customWidth="1"/>
    <col min="6150" max="6150" width="16.25" style="34" customWidth="1"/>
    <col min="6151" max="6151" width="14.875" style="34" customWidth="1"/>
    <col min="6152" max="6152" width="8.625" style="34" customWidth="1"/>
    <col min="6153" max="6153" width="15.875" style="34" customWidth="1"/>
    <col min="6154" max="6154" width="13.5" style="34" customWidth="1"/>
    <col min="6155" max="6157" width="0" style="34" hidden="1" customWidth="1"/>
    <col min="6158" max="6158" width="24.625" style="34" customWidth="1"/>
    <col min="6159" max="6159" width="15.625" style="34" customWidth="1"/>
    <col min="6160" max="6161" width="10.625" style="34" customWidth="1"/>
    <col min="6162" max="6162" width="15.625" style="34" customWidth="1"/>
    <col min="6163" max="6400" width="9" style="34"/>
    <col min="6401" max="6401" width="6.625" style="34" customWidth="1"/>
    <col min="6402" max="6402" width="7.875" style="34" customWidth="1"/>
    <col min="6403" max="6403" width="8.375" style="34" customWidth="1"/>
    <col min="6404" max="6404" width="8.125" style="34" customWidth="1"/>
    <col min="6405" max="6405" width="40.375" style="34" customWidth="1"/>
    <col min="6406" max="6406" width="16.25" style="34" customWidth="1"/>
    <col min="6407" max="6407" width="14.875" style="34" customWidth="1"/>
    <col min="6408" max="6408" width="8.625" style="34" customWidth="1"/>
    <col min="6409" max="6409" width="15.875" style="34" customWidth="1"/>
    <col min="6410" max="6410" width="13.5" style="34" customWidth="1"/>
    <col min="6411" max="6413" width="0" style="34" hidden="1" customWidth="1"/>
    <col min="6414" max="6414" width="24.625" style="34" customWidth="1"/>
    <col min="6415" max="6415" width="15.625" style="34" customWidth="1"/>
    <col min="6416" max="6417" width="10.625" style="34" customWidth="1"/>
    <col min="6418" max="6418" width="15.625" style="34" customWidth="1"/>
    <col min="6419" max="6656" width="9" style="34"/>
    <col min="6657" max="6657" width="6.625" style="34" customWidth="1"/>
    <col min="6658" max="6658" width="7.875" style="34" customWidth="1"/>
    <col min="6659" max="6659" width="8.375" style="34" customWidth="1"/>
    <col min="6660" max="6660" width="8.125" style="34" customWidth="1"/>
    <col min="6661" max="6661" width="40.375" style="34" customWidth="1"/>
    <col min="6662" max="6662" width="16.25" style="34" customWidth="1"/>
    <col min="6663" max="6663" width="14.875" style="34" customWidth="1"/>
    <col min="6664" max="6664" width="8.625" style="34" customWidth="1"/>
    <col min="6665" max="6665" width="15.875" style="34" customWidth="1"/>
    <col min="6666" max="6666" width="13.5" style="34" customWidth="1"/>
    <col min="6667" max="6669" width="0" style="34" hidden="1" customWidth="1"/>
    <col min="6670" max="6670" width="24.625" style="34" customWidth="1"/>
    <col min="6671" max="6671" width="15.625" style="34" customWidth="1"/>
    <col min="6672" max="6673" width="10.625" style="34" customWidth="1"/>
    <col min="6674" max="6674" width="15.625" style="34" customWidth="1"/>
    <col min="6675" max="6912" width="9" style="34"/>
    <col min="6913" max="6913" width="6.625" style="34" customWidth="1"/>
    <col min="6914" max="6914" width="7.875" style="34" customWidth="1"/>
    <col min="6915" max="6915" width="8.375" style="34" customWidth="1"/>
    <col min="6916" max="6916" width="8.125" style="34" customWidth="1"/>
    <col min="6917" max="6917" width="40.375" style="34" customWidth="1"/>
    <col min="6918" max="6918" width="16.25" style="34" customWidth="1"/>
    <col min="6919" max="6919" width="14.875" style="34" customWidth="1"/>
    <col min="6920" max="6920" width="8.625" style="34" customWidth="1"/>
    <col min="6921" max="6921" width="15.875" style="34" customWidth="1"/>
    <col min="6922" max="6922" width="13.5" style="34" customWidth="1"/>
    <col min="6923" max="6925" width="0" style="34" hidden="1" customWidth="1"/>
    <col min="6926" max="6926" width="24.625" style="34" customWidth="1"/>
    <col min="6927" max="6927" width="15.625" style="34" customWidth="1"/>
    <col min="6928" max="6929" width="10.625" style="34" customWidth="1"/>
    <col min="6930" max="6930" width="15.625" style="34" customWidth="1"/>
    <col min="6931" max="7168" width="9" style="34"/>
    <col min="7169" max="7169" width="6.625" style="34" customWidth="1"/>
    <col min="7170" max="7170" width="7.875" style="34" customWidth="1"/>
    <col min="7171" max="7171" width="8.375" style="34" customWidth="1"/>
    <col min="7172" max="7172" width="8.125" style="34" customWidth="1"/>
    <col min="7173" max="7173" width="40.375" style="34" customWidth="1"/>
    <col min="7174" max="7174" width="16.25" style="34" customWidth="1"/>
    <col min="7175" max="7175" width="14.875" style="34" customWidth="1"/>
    <col min="7176" max="7176" width="8.625" style="34" customWidth="1"/>
    <col min="7177" max="7177" width="15.875" style="34" customWidth="1"/>
    <col min="7178" max="7178" width="13.5" style="34" customWidth="1"/>
    <col min="7179" max="7181" width="0" style="34" hidden="1" customWidth="1"/>
    <col min="7182" max="7182" width="24.625" style="34" customWidth="1"/>
    <col min="7183" max="7183" width="15.625" style="34" customWidth="1"/>
    <col min="7184" max="7185" width="10.625" style="34" customWidth="1"/>
    <col min="7186" max="7186" width="15.625" style="34" customWidth="1"/>
    <col min="7187" max="7424" width="9" style="34"/>
    <col min="7425" max="7425" width="6.625" style="34" customWidth="1"/>
    <col min="7426" max="7426" width="7.875" style="34" customWidth="1"/>
    <col min="7427" max="7427" width="8.375" style="34" customWidth="1"/>
    <col min="7428" max="7428" width="8.125" style="34" customWidth="1"/>
    <col min="7429" max="7429" width="40.375" style="34" customWidth="1"/>
    <col min="7430" max="7430" width="16.25" style="34" customWidth="1"/>
    <col min="7431" max="7431" width="14.875" style="34" customWidth="1"/>
    <col min="7432" max="7432" width="8.625" style="34" customWidth="1"/>
    <col min="7433" max="7433" width="15.875" style="34" customWidth="1"/>
    <col min="7434" max="7434" width="13.5" style="34" customWidth="1"/>
    <col min="7435" max="7437" width="0" style="34" hidden="1" customWidth="1"/>
    <col min="7438" max="7438" width="24.625" style="34" customWidth="1"/>
    <col min="7439" max="7439" width="15.625" style="34" customWidth="1"/>
    <col min="7440" max="7441" width="10.625" style="34" customWidth="1"/>
    <col min="7442" max="7442" width="15.625" style="34" customWidth="1"/>
    <col min="7443" max="7680" width="9" style="34"/>
    <col min="7681" max="7681" width="6.625" style="34" customWidth="1"/>
    <col min="7682" max="7682" width="7.875" style="34" customWidth="1"/>
    <col min="7683" max="7683" width="8.375" style="34" customWidth="1"/>
    <col min="7684" max="7684" width="8.125" style="34" customWidth="1"/>
    <col min="7685" max="7685" width="40.375" style="34" customWidth="1"/>
    <col min="7686" max="7686" width="16.25" style="34" customWidth="1"/>
    <col min="7687" max="7687" width="14.875" style="34" customWidth="1"/>
    <col min="7688" max="7688" width="8.625" style="34" customWidth="1"/>
    <col min="7689" max="7689" width="15.875" style="34" customWidth="1"/>
    <col min="7690" max="7690" width="13.5" style="34" customWidth="1"/>
    <col min="7691" max="7693" width="0" style="34" hidden="1" customWidth="1"/>
    <col min="7694" max="7694" width="24.625" style="34" customWidth="1"/>
    <col min="7695" max="7695" width="15.625" style="34" customWidth="1"/>
    <col min="7696" max="7697" width="10.625" style="34" customWidth="1"/>
    <col min="7698" max="7698" width="15.625" style="34" customWidth="1"/>
    <col min="7699" max="7936" width="9" style="34"/>
    <col min="7937" max="7937" width="6.625" style="34" customWidth="1"/>
    <col min="7938" max="7938" width="7.875" style="34" customWidth="1"/>
    <col min="7939" max="7939" width="8.375" style="34" customWidth="1"/>
    <col min="7940" max="7940" width="8.125" style="34" customWidth="1"/>
    <col min="7941" max="7941" width="40.375" style="34" customWidth="1"/>
    <col min="7942" max="7942" width="16.25" style="34" customWidth="1"/>
    <col min="7943" max="7943" width="14.875" style="34" customWidth="1"/>
    <col min="7944" max="7944" width="8.625" style="34" customWidth="1"/>
    <col min="7945" max="7945" width="15.875" style="34" customWidth="1"/>
    <col min="7946" max="7946" width="13.5" style="34" customWidth="1"/>
    <col min="7947" max="7949" width="0" style="34" hidden="1" customWidth="1"/>
    <col min="7950" max="7950" width="24.625" style="34" customWidth="1"/>
    <col min="7951" max="7951" width="15.625" style="34" customWidth="1"/>
    <col min="7952" max="7953" width="10.625" style="34" customWidth="1"/>
    <col min="7954" max="7954" width="15.625" style="34" customWidth="1"/>
    <col min="7955" max="8192" width="9" style="34"/>
    <col min="8193" max="8193" width="6.625" style="34" customWidth="1"/>
    <col min="8194" max="8194" width="7.875" style="34" customWidth="1"/>
    <col min="8195" max="8195" width="8.375" style="34" customWidth="1"/>
    <col min="8196" max="8196" width="8.125" style="34" customWidth="1"/>
    <col min="8197" max="8197" width="40.375" style="34" customWidth="1"/>
    <col min="8198" max="8198" width="16.25" style="34" customWidth="1"/>
    <col min="8199" max="8199" width="14.875" style="34" customWidth="1"/>
    <col min="8200" max="8200" width="8.625" style="34" customWidth="1"/>
    <col min="8201" max="8201" width="15.875" style="34" customWidth="1"/>
    <col min="8202" max="8202" width="13.5" style="34" customWidth="1"/>
    <col min="8203" max="8205" width="0" style="34" hidden="1" customWidth="1"/>
    <col min="8206" max="8206" width="24.625" style="34" customWidth="1"/>
    <col min="8207" max="8207" width="15.625" style="34" customWidth="1"/>
    <col min="8208" max="8209" width="10.625" style="34" customWidth="1"/>
    <col min="8210" max="8210" width="15.625" style="34" customWidth="1"/>
    <col min="8211" max="8448" width="9" style="34"/>
    <col min="8449" max="8449" width="6.625" style="34" customWidth="1"/>
    <col min="8450" max="8450" width="7.875" style="34" customWidth="1"/>
    <col min="8451" max="8451" width="8.375" style="34" customWidth="1"/>
    <col min="8452" max="8452" width="8.125" style="34" customWidth="1"/>
    <col min="8453" max="8453" width="40.375" style="34" customWidth="1"/>
    <col min="8454" max="8454" width="16.25" style="34" customWidth="1"/>
    <col min="8455" max="8455" width="14.875" style="34" customWidth="1"/>
    <col min="8456" max="8456" width="8.625" style="34" customWidth="1"/>
    <col min="8457" max="8457" width="15.875" style="34" customWidth="1"/>
    <col min="8458" max="8458" width="13.5" style="34" customWidth="1"/>
    <col min="8459" max="8461" width="0" style="34" hidden="1" customWidth="1"/>
    <col min="8462" max="8462" width="24.625" style="34" customWidth="1"/>
    <col min="8463" max="8463" width="15.625" style="34" customWidth="1"/>
    <col min="8464" max="8465" width="10.625" style="34" customWidth="1"/>
    <col min="8466" max="8466" width="15.625" style="34" customWidth="1"/>
    <col min="8467" max="8704" width="9" style="34"/>
    <col min="8705" max="8705" width="6.625" style="34" customWidth="1"/>
    <col min="8706" max="8706" width="7.875" style="34" customWidth="1"/>
    <col min="8707" max="8707" width="8.375" style="34" customWidth="1"/>
    <col min="8708" max="8708" width="8.125" style="34" customWidth="1"/>
    <col min="8709" max="8709" width="40.375" style="34" customWidth="1"/>
    <col min="8710" max="8710" width="16.25" style="34" customWidth="1"/>
    <col min="8711" max="8711" width="14.875" style="34" customWidth="1"/>
    <col min="8712" max="8712" width="8.625" style="34" customWidth="1"/>
    <col min="8713" max="8713" width="15.875" style="34" customWidth="1"/>
    <col min="8714" max="8714" width="13.5" style="34" customWidth="1"/>
    <col min="8715" max="8717" width="0" style="34" hidden="1" customWidth="1"/>
    <col min="8718" max="8718" width="24.625" style="34" customWidth="1"/>
    <col min="8719" max="8719" width="15.625" style="34" customWidth="1"/>
    <col min="8720" max="8721" width="10.625" style="34" customWidth="1"/>
    <col min="8722" max="8722" width="15.625" style="34" customWidth="1"/>
    <col min="8723" max="8960" width="9" style="34"/>
    <col min="8961" max="8961" width="6.625" style="34" customWidth="1"/>
    <col min="8962" max="8962" width="7.875" style="34" customWidth="1"/>
    <col min="8963" max="8963" width="8.375" style="34" customWidth="1"/>
    <col min="8964" max="8964" width="8.125" style="34" customWidth="1"/>
    <col min="8965" max="8965" width="40.375" style="34" customWidth="1"/>
    <col min="8966" max="8966" width="16.25" style="34" customWidth="1"/>
    <col min="8967" max="8967" width="14.875" style="34" customWidth="1"/>
    <col min="8968" max="8968" width="8.625" style="34" customWidth="1"/>
    <col min="8969" max="8969" width="15.875" style="34" customWidth="1"/>
    <col min="8970" max="8970" width="13.5" style="34" customWidth="1"/>
    <col min="8971" max="8973" width="0" style="34" hidden="1" customWidth="1"/>
    <col min="8974" max="8974" width="24.625" style="34" customWidth="1"/>
    <col min="8975" max="8975" width="15.625" style="34" customWidth="1"/>
    <col min="8976" max="8977" width="10.625" style="34" customWidth="1"/>
    <col min="8978" max="8978" width="15.625" style="34" customWidth="1"/>
    <col min="8979" max="9216" width="9" style="34"/>
    <col min="9217" max="9217" width="6.625" style="34" customWidth="1"/>
    <col min="9218" max="9218" width="7.875" style="34" customWidth="1"/>
    <col min="9219" max="9219" width="8.375" style="34" customWidth="1"/>
    <col min="9220" max="9220" width="8.125" style="34" customWidth="1"/>
    <col min="9221" max="9221" width="40.375" style="34" customWidth="1"/>
    <col min="9222" max="9222" width="16.25" style="34" customWidth="1"/>
    <col min="9223" max="9223" width="14.875" style="34" customWidth="1"/>
    <col min="9224" max="9224" width="8.625" style="34" customWidth="1"/>
    <col min="9225" max="9225" width="15.875" style="34" customWidth="1"/>
    <col min="9226" max="9226" width="13.5" style="34" customWidth="1"/>
    <col min="9227" max="9229" width="0" style="34" hidden="1" customWidth="1"/>
    <col min="9230" max="9230" width="24.625" style="34" customWidth="1"/>
    <col min="9231" max="9231" width="15.625" style="34" customWidth="1"/>
    <col min="9232" max="9233" width="10.625" style="34" customWidth="1"/>
    <col min="9234" max="9234" width="15.625" style="34" customWidth="1"/>
    <col min="9235" max="9472" width="9" style="34"/>
    <col min="9473" max="9473" width="6.625" style="34" customWidth="1"/>
    <col min="9474" max="9474" width="7.875" style="34" customWidth="1"/>
    <col min="9475" max="9475" width="8.375" style="34" customWidth="1"/>
    <col min="9476" max="9476" width="8.125" style="34" customWidth="1"/>
    <col min="9477" max="9477" width="40.375" style="34" customWidth="1"/>
    <col min="9478" max="9478" width="16.25" style="34" customWidth="1"/>
    <col min="9479" max="9479" width="14.875" style="34" customWidth="1"/>
    <col min="9480" max="9480" width="8.625" style="34" customWidth="1"/>
    <col min="9481" max="9481" width="15.875" style="34" customWidth="1"/>
    <col min="9482" max="9482" width="13.5" style="34" customWidth="1"/>
    <col min="9483" max="9485" width="0" style="34" hidden="1" customWidth="1"/>
    <col min="9486" max="9486" width="24.625" style="34" customWidth="1"/>
    <col min="9487" max="9487" width="15.625" style="34" customWidth="1"/>
    <col min="9488" max="9489" width="10.625" style="34" customWidth="1"/>
    <col min="9490" max="9490" width="15.625" style="34" customWidth="1"/>
    <col min="9491" max="9728" width="9" style="34"/>
    <col min="9729" max="9729" width="6.625" style="34" customWidth="1"/>
    <col min="9730" max="9730" width="7.875" style="34" customWidth="1"/>
    <col min="9731" max="9731" width="8.375" style="34" customWidth="1"/>
    <col min="9732" max="9732" width="8.125" style="34" customWidth="1"/>
    <col min="9733" max="9733" width="40.375" style="34" customWidth="1"/>
    <col min="9734" max="9734" width="16.25" style="34" customWidth="1"/>
    <col min="9735" max="9735" width="14.875" style="34" customWidth="1"/>
    <col min="9736" max="9736" width="8.625" style="34" customWidth="1"/>
    <col min="9737" max="9737" width="15.875" style="34" customWidth="1"/>
    <col min="9738" max="9738" width="13.5" style="34" customWidth="1"/>
    <col min="9739" max="9741" width="0" style="34" hidden="1" customWidth="1"/>
    <col min="9742" max="9742" width="24.625" style="34" customWidth="1"/>
    <col min="9743" max="9743" width="15.625" style="34" customWidth="1"/>
    <col min="9744" max="9745" width="10.625" style="34" customWidth="1"/>
    <col min="9746" max="9746" width="15.625" style="34" customWidth="1"/>
    <col min="9747" max="9984" width="9" style="34"/>
    <col min="9985" max="9985" width="6.625" style="34" customWidth="1"/>
    <col min="9986" max="9986" width="7.875" style="34" customWidth="1"/>
    <col min="9987" max="9987" width="8.375" style="34" customWidth="1"/>
    <col min="9988" max="9988" width="8.125" style="34" customWidth="1"/>
    <col min="9989" max="9989" width="40.375" style="34" customWidth="1"/>
    <col min="9990" max="9990" width="16.25" style="34" customWidth="1"/>
    <col min="9991" max="9991" width="14.875" style="34" customWidth="1"/>
    <col min="9992" max="9992" width="8.625" style="34" customWidth="1"/>
    <col min="9993" max="9993" width="15.875" style="34" customWidth="1"/>
    <col min="9994" max="9994" width="13.5" style="34" customWidth="1"/>
    <col min="9995" max="9997" width="0" style="34" hidden="1" customWidth="1"/>
    <col min="9998" max="9998" width="24.625" style="34" customWidth="1"/>
    <col min="9999" max="9999" width="15.625" style="34" customWidth="1"/>
    <col min="10000" max="10001" width="10.625" style="34" customWidth="1"/>
    <col min="10002" max="10002" width="15.625" style="34" customWidth="1"/>
    <col min="10003" max="10240" width="9" style="34"/>
    <col min="10241" max="10241" width="6.625" style="34" customWidth="1"/>
    <col min="10242" max="10242" width="7.875" style="34" customWidth="1"/>
    <col min="10243" max="10243" width="8.375" style="34" customWidth="1"/>
    <col min="10244" max="10244" width="8.125" style="34" customWidth="1"/>
    <col min="10245" max="10245" width="40.375" style="34" customWidth="1"/>
    <col min="10246" max="10246" width="16.25" style="34" customWidth="1"/>
    <col min="10247" max="10247" width="14.875" style="34" customWidth="1"/>
    <col min="10248" max="10248" width="8.625" style="34" customWidth="1"/>
    <col min="10249" max="10249" width="15.875" style="34" customWidth="1"/>
    <col min="10250" max="10250" width="13.5" style="34" customWidth="1"/>
    <col min="10251" max="10253" width="0" style="34" hidden="1" customWidth="1"/>
    <col min="10254" max="10254" width="24.625" style="34" customWidth="1"/>
    <col min="10255" max="10255" width="15.625" style="34" customWidth="1"/>
    <col min="10256" max="10257" width="10.625" style="34" customWidth="1"/>
    <col min="10258" max="10258" width="15.625" style="34" customWidth="1"/>
    <col min="10259" max="10496" width="9" style="34"/>
    <col min="10497" max="10497" width="6.625" style="34" customWidth="1"/>
    <col min="10498" max="10498" width="7.875" style="34" customWidth="1"/>
    <col min="10499" max="10499" width="8.375" style="34" customWidth="1"/>
    <col min="10500" max="10500" width="8.125" style="34" customWidth="1"/>
    <col min="10501" max="10501" width="40.375" style="34" customWidth="1"/>
    <col min="10502" max="10502" width="16.25" style="34" customWidth="1"/>
    <col min="10503" max="10503" width="14.875" style="34" customWidth="1"/>
    <col min="10504" max="10504" width="8.625" style="34" customWidth="1"/>
    <col min="10505" max="10505" width="15.875" style="34" customWidth="1"/>
    <col min="10506" max="10506" width="13.5" style="34" customWidth="1"/>
    <col min="10507" max="10509" width="0" style="34" hidden="1" customWidth="1"/>
    <col min="10510" max="10510" width="24.625" style="34" customWidth="1"/>
    <col min="10511" max="10511" width="15.625" style="34" customWidth="1"/>
    <col min="10512" max="10513" width="10.625" style="34" customWidth="1"/>
    <col min="10514" max="10514" width="15.625" style="34" customWidth="1"/>
    <col min="10515" max="10752" width="9" style="34"/>
    <col min="10753" max="10753" width="6.625" style="34" customWidth="1"/>
    <col min="10754" max="10754" width="7.875" style="34" customWidth="1"/>
    <col min="10755" max="10755" width="8.375" style="34" customWidth="1"/>
    <col min="10756" max="10756" width="8.125" style="34" customWidth="1"/>
    <col min="10757" max="10757" width="40.375" style="34" customWidth="1"/>
    <col min="10758" max="10758" width="16.25" style="34" customWidth="1"/>
    <col min="10759" max="10759" width="14.875" style="34" customWidth="1"/>
    <col min="10760" max="10760" width="8.625" style="34" customWidth="1"/>
    <col min="10761" max="10761" width="15.875" style="34" customWidth="1"/>
    <col min="10762" max="10762" width="13.5" style="34" customWidth="1"/>
    <col min="10763" max="10765" width="0" style="34" hidden="1" customWidth="1"/>
    <col min="10766" max="10766" width="24.625" style="34" customWidth="1"/>
    <col min="10767" max="10767" width="15.625" style="34" customWidth="1"/>
    <col min="10768" max="10769" width="10.625" style="34" customWidth="1"/>
    <col min="10770" max="10770" width="15.625" style="34" customWidth="1"/>
    <col min="10771" max="11008" width="9" style="34"/>
    <col min="11009" max="11009" width="6.625" style="34" customWidth="1"/>
    <col min="11010" max="11010" width="7.875" style="34" customWidth="1"/>
    <col min="11011" max="11011" width="8.375" style="34" customWidth="1"/>
    <col min="11012" max="11012" width="8.125" style="34" customWidth="1"/>
    <col min="11013" max="11013" width="40.375" style="34" customWidth="1"/>
    <col min="11014" max="11014" width="16.25" style="34" customWidth="1"/>
    <col min="11015" max="11015" width="14.875" style="34" customWidth="1"/>
    <col min="11016" max="11016" width="8.625" style="34" customWidth="1"/>
    <col min="11017" max="11017" width="15.875" style="34" customWidth="1"/>
    <col min="11018" max="11018" width="13.5" style="34" customWidth="1"/>
    <col min="11019" max="11021" width="0" style="34" hidden="1" customWidth="1"/>
    <col min="11022" max="11022" width="24.625" style="34" customWidth="1"/>
    <col min="11023" max="11023" width="15.625" style="34" customWidth="1"/>
    <col min="11024" max="11025" width="10.625" style="34" customWidth="1"/>
    <col min="11026" max="11026" width="15.625" style="34" customWidth="1"/>
    <col min="11027" max="11264" width="9" style="34"/>
    <col min="11265" max="11265" width="6.625" style="34" customWidth="1"/>
    <col min="11266" max="11266" width="7.875" style="34" customWidth="1"/>
    <col min="11267" max="11267" width="8.375" style="34" customWidth="1"/>
    <col min="11268" max="11268" width="8.125" style="34" customWidth="1"/>
    <col min="11269" max="11269" width="40.375" style="34" customWidth="1"/>
    <col min="11270" max="11270" width="16.25" style="34" customWidth="1"/>
    <col min="11271" max="11271" width="14.875" style="34" customWidth="1"/>
    <col min="11272" max="11272" width="8.625" style="34" customWidth="1"/>
    <col min="11273" max="11273" width="15.875" style="34" customWidth="1"/>
    <col min="11274" max="11274" width="13.5" style="34" customWidth="1"/>
    <col min="11275" max="11277" width="0" style="34" hidden="1" customWidth="1"/>
    <col min="11278" max="11278" width="24.625" style="34" customWidth="1"/>
    <col min="11279" max="11279" width="15.625" style="34" customWidth="1"/>
    <col min="11280" max="11281" width="10.625" style="34" customWidth="1"/>
    <col min="11282" max="11282" width="15.625" style="34" customWidth="1"/>
    <col min="11283" max="11520" width="9" style="34"/>
    <col min="11521" max="11521" width="6.625" style="34" customWidth="1"/>
    <col min="11522" max="11522" width="7.875" style="34" customWidth="1"/>
    <col min="11523" max="11523" width="8.375" style="34" customWidth="1"/>
    <col min="11524" max="11524" width="8.125" style="34" customWidth="1"/>
    <col min="11525" max="11525" width="40.375" style="34" customWidth="1"/>
    <col min="11526" max="11526" width="16.25" style="34" customWidth="1"/>
    <col min="11527" max="11527" width="14.875" style="34" customWidth="1"/>
    <col min="11528" max="11528" width="8.625" style="34" customWidth="1"/>
    <col min="11529" max="11529" width="15.875" style="34" customWidth="1"/>
    <col min="11530" max="11530" width="13.5" style="34" customWidth="1"/>
    <col min="11531" max="11533" width="0" style="34" hidden="1" customWidth="1"/>
    <col min="11534" max="11534" width="24.625" style="34" customWidth="1"/>
    <col min="11535" max="11535" width="15.625" style="34" customWidth="1"/>
    <col min="11536" max="11537" width="10.625" style="34" customWidth="1"/>
    <col min="11538" max="11538" width="15.625" style="34" customWidth="1"/>
    <col min="11539" max="11776" width="9" style="34"/>
    <col min="11777" max="11777" width="6.625" style="34" customWidth="1"/>
    <col min="11778" max="11778" width="7.875" style="34" customWidth="1"/>
    <col min="11779" max="11779" width="8.375" style="34" customWidth="1"/>
    <col min="11780" max="11780" width="8.125" style="34" customWidth="1"/>
    <col min="11781" max="11781" width="40.375" style="34" customWidth="1"/>
    <col min="11782" max="11782" width="16.25" style="34" customWidth="1"/>
    <col min="11783" max="11783" width="14.875" style="34" customWidth="1"/>
    <col min="11784" max="11784" width="8.625" style="34" customWidth="1"/>
    <col min="11785" max="11785" width="15.875" style="34" customWidth="1"/>
    <col min="11786" max="11786" width="13.5" style="34" customWidth="1"/>
    <col min="11787" max="11789" width="0" style="34" hidden="1" customWidth="1"/>
    <col min="11790" max="11790" width="24.625" style="34" customWidth="1"/>
    <col min="11791" max="11791" width="15.625" style="34" customWidth="1"/>
    <col min="11792" max="11793" width="10.625" style="34" customWidth="1"/>
    <col min="11794" max="11794" width="15.625" style="34" customWidth="1"/>
    <col min="11795" max="12032" width="9" style="34"/>
    <col min="12033" max="12033" width="6.625" style="34" customWidth="1"/>
    <col min="12034" max="12034" width="7.875" style="34" customWidth="1"/>
    <col min="12035" max="12035" width="8.375" style="34" customWidth="1"/>
    <col min="12036" max="12036" width="8.125" style="34" customWidth="1"/>
    <col min="12037" max="12037" width="40.375" style="34" customWidth="1"/>
    <col min="12038" max="12038" width="16.25" style="34" customWidth="1"/>
    <col min="12039" max="12039" width="14.875" style="34" customWidth="1"/>
    <col min="12040" max="12040" width="8.625" style="34" customWidth="1"/>
    <col min="12041" max="12041" width="15.875" style="34" customWidth="1"/>
    <col min="12042" max="12042" width="13.5" style="34" customWidth="1"/>
    <col min="12043" max="12045" width="0" style="34" hidden="1" customWidth="1"/>
    <col min="12046" max="12046" width="24.625" style="34" customWidth="1"/>
    <col min="12047" max="12047" width="15.625" style="34" customWidth="1"/>
    <col min="12048" max="12049" width="10.625" style="34" customWidth="1"/>
    <col min="12050" max="12050" width="15.625" style="34" customWidth="1"/>
    <col min="12051" max="12288" width="9" style="34"/>
    <col min="12289" max="12289" width="6.625" style="34" customWidth="1"/>
    <col min="12290" max="12290" width="7.875" style="34" customWidth="1"/>
    <col min="12291" max="12291" width="8.375" style="34" customWidth="1"/>
    <col min="12292" max="12292" width="8.125" style="34" customWidth="1"/>
    <col min="12293" max="12293" width="40.375" style="34" customWidth="1"/>
    <col min="12294" max="12294" width="16.25" style="34" customWidth="1"/>
    <col min="12295" max="12295" width="14.875" style="34" customWidth="1"/>
    <col min="12296" max="12296" width="8.625" style="34" customWidth="1"/>
    <col min="12297" max="12297" width="15.875" style="34" customWidth="1"/>
    <col min="12298" max="12298" width="13.5" style="34" customWidth="1"/>
    <col min="12299" max="12301" width="0" style="34" hidden="1" customWidth="1"/>
    <col min="12302" max="12302" width="24.625" style="34" customWidth="1"/>
    <col min="12303" max="12303" width="15.625" style="34" customWidth="1"/>
    <col min="12304" max="12305" width="10.625" style="34" customWidth="1"/>
    <col min="12306" max="12306" width="15.625" style="34" customWidth="1"/>
    <col min="12307" max="12544" width="9" style="34"/>
    <col min="12545" max="12545" width="6.625" style="34" customWidth="1"/>
    <col min="12546" max="12546" width="7.875" style="34" customWidth="1"/>
    <col min="12547" max="12547" width="8.375" style="34" customWidth="1"/>
    <col min="12548" max="12548" width="8.125" style="34" customWidth="1"/>
    <col min="12549" max="12549" width="40.375" style="34" customWidth="1"/>
    <col min="12550" max="12550" width="16.25" style="34" customWidth="1"/>
    <col min="12551" max="12551" width="14.875" style="34" customWidth="1"/>
    <col min="12552" max="12552" width="8.625" style="34" customWidth="1"/>
    <col min="12553" max="12553" width="15.875" style="34" customWidth="1"/>
    <col min="12554" max="12554" width="13.5" style="34" customWidth="1"/>
    <col min="12555" max="12557" width="0" style="34" hidden="1" customWidth="1"/>
    <col min="12558" max="12558" width="24.625" style="34" customWidth="1"/>
    <col min="12559" max="12559" width="15.625" style="34" customWidth="1"/>
    <col min="12560" max="12561" width="10.625" style="34" customWidth="1"/>
    <col min="12562" max="12562" width="15.625" style="34" customWidth="1"/>
    <col min="12563" max="12800" width="9" style="34"/>
    <col min="12801" max="12801" width="6.625" style="34" customWidth="1"/>
    <col min="12802" max="12802" width="7.875" style="34" customWidth="1"/>
    <col min="12803" max="12803" width="8.375" style="34" customWidth="1"/>
    <col min="12804" max="12804" width="8.125" style="34" customWidth="1"/>
    <col min="12805" max="12805" width="40.375" style="34" customWidth="1"/>
    <col min="12806" max="12806" width="16.25" style="34" customWidth="1"/>
    <col min="12807" max="12807" width="14.875" style="34" customWidth="1"/>
    <col min="12808" max="12808" width="8.625" style="34" customWidth="1"/>
    <col min="12809" max="12809" width="15.875" style="34" customWidth="1"/>
    <col min="12810" max="12810" width="13.5" style="34" customWidth="1"/>
    <col min="12811" max="12813" width="0" style="34" hidden="1" customWidth="1"/>
    <col min="12814" max="12814" width="24.625" style="34" customWidth="1"/>
    <col min="12815" max="12815" width="15.625" style="34" customWidth="1"/>
    <col min="12816" max="12817" width="10.625" style="34" customWidth="1"/>
    <col min="12818" max="12818" width="15.625" style="34" customWidth="1"/>
    <col min="12819" max="13056" width="9" style="34"/>
    <col min="13057" max="13057" width="6.625" style="34" customWidth="1"/>
    <col min="13058" max="13058" width="7.875" style="34" customWidth="1"/>
    <col min="13059" max="13059" width="8.375" style="34" customWidth="1"/>
    <col min="13060" max="13060" width="8.125" style="34" customWidth="1"/>
    <col min="13061" max="13061" width="40.375" style="34" customWidth="1"/>
    <col min="13062" max="13062" width="16.25" style="34" customWidth="1"/>
    <col min="13063" max="13063" width="14.875" style="34" customWidth="1"/>
    <col min="13064" max="13064" width="8.625" style="34" customWidth="1"/>
    <col min="13065" max="13065" width="15.875" style="34" customWidth="1"/>
    <col min="13066" max="13066" width="13.5" style="34" customWidth="1"/>
    <col min="13067" max="13069" width="0" style="34" hidden="1" customWidth="1"/>
    <col min="13070" max="13070" width="24.625" style="34" customWidth="1"/>
    <col min="13071" max="13071" width="15.625" style="34" customWidth="1"/>
    <col min="13072" max="13073" width="10.625" style="34" customWidth="1"/>
    <col min="13074" max="13074" width="15.625" style="34" customWidth="1"/>
    <col min="13075" max="13312" width="9" style="34"/>
    <col min="13313" max="13313" width="6.625" style="34" customWidth="1"/>
    <col min="13314" max="13314" width="7.875" style="34" customWidth="1"/>
    <col min="13315" max="13315" width="8.375" style="34" customWidth="1"/>
    <col min="13316" max="13316" width="8.125" style="34" customWidth="1"/>
    <col min="13317" max="13317" width="40.375" style="34" customWidth="1"/>
    <col min="13318" max="13318" width="16.25" style="34" customWidth="1"/>
    <col min="13319" max="13319" width="14.875" style="34" customWidth="1"/>
    <col min="13320" max="13320" width="8.625" style="34" customWidth="1"/>
    <col min="13321" max="13321" width="15.875" style="34" customWidth="1"/>
    <col min="13322" max="13322" width="13.5" style="34" customWidth="1"/>
    <col min="13323" max="13325" width="0" style="34" hidden="1" customWidth="1"/>
    <col min="13326" max="13326" width="24.625" style="34" customWidth="1"/>
    <col min="13327" max="13327" width="15.625" style="34" customWidth="1"/>
    <col min="13328" max="13329" width="10.625" style="34" customWidth="1"/>
    <col min="13330" max="13330" width="15.625" style="34" customWidth="1"/>
    <col min="13331" max="13568" width="9" style="34"/>
    <col min="13569" max="13569" width="6.625" style="34" customWidth="1"/>
    <col min="13570" max="13570" width="7.875" style="34" customWidth="1"/>
    <col min="13571" max="13571" width="8.375" style="34" customWidth="1"/>
    <col min="13572" max="13572" width="8.125" style="34" customWidth="1"/>
    <col min="13573" max="13573" width="40.375" style="34" customWidth="1"/>
    <col min="13574" max="13574" width="16.25" style="34" customWidth="1"/>
    <col min="13575" max="13575" width="14.875" style="34" customWidth="1"/>
    <col min="13576" max="13576" width="8.625" style="34" customWidth="1"/>
    <col min="13577" max="13577" width="15.875" style="34" customWidth="1"/>
    <col min="13578" max="13578" width="13.5" style="34" customWidth="1"/>
    <col min="13579" max="13581" width="0" style="34" hidden="1" customWidth="1"/>
    <col min="13582" max="13582" width="24.625" style="34" customWidth="1"/>
    <col min="13583" max="13583" width="15.625" style="34" customWidth="1"/>
    <col min="13584" max="13585" width="10.625" style="34" customWidth="1"/>
    <col min="13586" max="13586" width="15.625" style="34" customWidth="1"/>
    <col min="13587" max="13824" width="9" style="34"/>
    <col min="13825" max="13825" width="6.625" style="34" customWidth="1"/>
    <col min="13826" max="13826" width="7.875" style="34" customWidth="1"/>
    <col min="13827" max="13827" width="8.375" style="34" customWidth="1"/>
    <col min="13828" max="13828" width="8.125" style="34" customWidth="1"/>
    <col min="13829" max="13829" width="40.375" style="34" customWidth="1"/>
    <col min="13830" max="13830" width="16.25" style="34" customWidth="1"/>
    <col min="13831" max="13831" width="14.875" style="34" customWidth="1"/>
    <col min="13832" max="13832" width="8.625" style="34" customWidth="1"/>
    <col min="13833" max="13833" width="15.875" style="34" customWidth="1"/>
    <col min="13834" max="13834" width="13.5" style="34" customWidth="1"/>
    <col min="13835" max="13837" width="0" style="34" hidden="1" customWidth="1"/>
    <col min="13838" max="13838" width="24.625" style="34" customWidth="1"/>
    <col min="13839" max="13839" width="15.625" style="34" customWidth="1"/>
    <col min="13840" max="13841" width="10.625" style="34" customWidth="1"/>
    <col min="13842" max="13842" width="15.625" style="34" customWidth="1"/>
    <col min="13843" max="14080" width="9" style="34"/>
    <col min="14081" max="14081" width="6.625" style="34" customWidth="1"/>
    <col min="14082" max="14082" width="7.875" style="34" customWidth="1"/>
    <col min="14083" max="14083" width="8.375" style="34" customWidth="1"/>
    <col min="14084" max="14084" width="8.125" style="34" customWidth="1"/>
    <col min="14085" max="14085" width="40.375" style="34" customWidth="1"/>
    <col min="14086" max="14086" width="16.25" style="34" customWidth="1"/>
    <col min="14087" max="14087" width="14.875" style="34" customWidth="1"/>
    <col min="14088" max="14088" width="8.625" style="34" customWidth="1"/>
    <col min="14089" max="14089" width="15.875" style="34" customWidth="1"/>
    <col min="14090" max="14090" width="13.5" style="34" customWidth="1"/>
    <col min="14091" max="14093" width="0" style="34" hidden="1" customWidth="1"/>
    <col min="14094" max="14094" width="24.625" style="34" customWidth="1"/>
    <col min="14095" max="14095" width="15.625" style="34" customWidth="1"/>
    <col min="14096" max="14097" width="10.625" style="34" customWidth="1"/>
    <col min="14098" max="14098" width="15.625" style="34" customWidth="1"/>
    <col min="14099" max="14336" width="9" style="34"/>
    <col min="14337" max="14337" width="6.625" style="34" customWidth="1"/>
    <col min="14338" max="14338" width="7.875" style="34" customWidth="1"/>
    <col min="14339" max="14339" width="8.375" style="34" customWidth="1"/>
    <col min="14340" max="14340" width="8.125" style="34" customWidth="1"/>
    <col min="14341" max="14341" width="40.375" style="34" customWidth="1"/>
    <col min="14342" max="14342" width="16.25" style="34" customWidth="1"/>
    <col min="14343" max="14343" width="14.875" style="34" customWidth="1"/>
    <col min="14344" max="14344" width="8.625" style="34" customWidth="1"/>
    <col min="14345" max="14345" width="15.875" style="34" customWidth="1"/>
    <col min="14346" max="14346" width="13.5" style="34" customWidth="1"/>
    <col min="14347" max="14349" width="0" style="34" hidden="1" customWidth="1"/>
    <col min="14350" max="14350" width="24.625" style="34" customWidth="1"/>
    <col min="14351" max="14351" width="15.625" style="34" customWidth="1"/>
    <col min="14352" max="14353" width="10.625" style="34" customWidth="1"/>
    <col min="14354" max="14354" width="15.625" style="34" customWidth="1"/>
    <col min="14355" max="14592" width="9" style="34"/>
    <col min="14593" max="14593" width="6.625" style="34" customWidth="1"/>
    <col min="14594" max="14594" width="7.875" style="34" customWidth="1"/>
    <col min="14595" max="14595" width="8.375" style="34" customWidth="1"/>
    <col min="14596" max="14596" width="8.125" style="34" customWidth="1"/>
    <col min="14597" max="14597" width="40.375" style="34" customWidth="1"/>
    <col min="14598" max="14598" width="16.25" style="34" customWidth="1"/>
    <col min="14599" max="14599" width="14.875" style="34" customWidth="1"/>
    <col min="14600" max="14600" width="8.625" style="34" customWidth="1"/>
    <col min="14601" max="14601" width="15.875" style="34" customWidth="1"/>
    <col min="14602" max="14602" width="13.5" style="34" customWidth="1"/>
    <col min="14603" max="14605" width="0" style="34" hidden="1" customWidth="1"/>
    <col min="14606" max="14606" width="24.625" style="34" customWidth="1"/>
    <col min="14607" max="14607" width="15.625" style="34" customWidth="1"/>
    <col min="14608" max="14609" width="10.625" style="34" customWidth="1"/>
    <col min="14610" max="14610" width="15.625" style="34" customWidth="1"/>
    <col min="14611" max="14848" width="9" style="34"/>
    <col min="14849" max="14849" width="6.625" style="34" customWidth="1"/>
    <col min="14850" max="14850" width="7.875" style="34" customWidth="1"/>
    <col min="14851" max="14851" width="8.375" style="34" customWidth="1"/>
    <col min="14852" max="14852" width="8.125" style="34" customWidth="1"/>
    <col min="14853" max="14853" width="40.375" style="34" customWidth="1"/>
    <col min="14854" max="14854" width="16.25" style="34" customWidth="1"/>
    <col min="14855" max="14855" width="14.875" style="34" customWidth="1"/>
    <col min="14856" max="14856" width="8.625" style="34" customWidth="1"/>
    <col min="14857" max="14857" width="15.875" style="34" customWidth="1"/>
    <col min="14858" max="14858" width="13.5" style="34" customWidth="1"/>
    <col min="14859" max="14861" width="0" style="34" hidden="1" customWidth="1"/>
    <col min="14862" max="14862" width="24.625" style="34" customWidth="1"/>
    <col min="14863" max="14863" width="15.625" style="34" customWidth="1"/>
    <col min="14864" max="14865" width="10.625" style="34" customWidth="1"/>
    <col min="14866" max="14866" width="15.625" style="34" customWidth="1"/>
    <col min="14867" max="15104" width="9" style="34"/>
    <col min="15105" max="15105" width="6.625" style="34" customWidth="1"/>
    <col min="15106" max="15106" width="7.875" style="34" customWidth="1"/>
    <col min="15107" max="15107" width="8.375" style="34" customWidth="1"/>
    <col min="15108" max="15108" width="8.125" style="34" customWidth="1"/>
    <col min="15109" max="15109" width="40.375" style="34" customWidth="1"/>
    <col min="15110" max="15110" width="16.25" style="34" customWidth="1"/>
    <col min="15111" max="15111" width="14.875" style="34" customWidth="1"/>
    <col min="15112" max="15112" width="8.625" style="34" customWidth="1"/>
    <col min="15113" max="15113" width="15.875" style="34" customWidth="1"/>
    <col min="15114" max="15114" width="13.5" style="34" customWidth="1"/>
    <col min="15115" max="15117" width="0" style="34" hidden="1" customWidth="1"/>
    <col min="15118" max="15118" width="24.625" style="34" customWidth="1"/>
    <col min="15119" max="15119" width="15.625" style="34" customWidth="1"/>
    <col min="15120" max="15121" width="10.625" style="34" customWidth="1"/>
    <col min="15122" max="15122" width="15.625" style="34" customWidth="1"/>
    <col min="15123" max="15360" width="9" style="34"/>
    <col min="15361" max="15361" width="6.625" style="34" customWidth="1"/>
    <col min="15362" max="15362" width="7.875" style="34" customWidth="1"/>
    <col min="15363" max="15363" width="8.375" style="34" customWidth="1"/>
    <col min="15364" max="15364" width="8.125" style="34" customWidth="1"/>
    <col min="15365" max="15365" width="40.375" style="34" customWidth="1"/>
    <col min="15366" max="15366" width="16.25" style="34" customWidth="1"/>
    <col min="15367" max="15367" width="14.875" style="34" customWidth="1"/>
    <col min="15368" max="15368" width="8.625" style="34" customWidth="1"/>
    <col min="15369" max="15369" width="15.875" style="34" customWidth="1"/>
    <col min="15370" max="15370" width="13.5" style="34" customWidth="1"/>
    <col min="15371" max="15373" width="0" style="34" hidden="1" customWidth="1"/>
    <col min="15374" max="15374" width="24.625" style="34" customWidth="1"/>
    <col min="15375" max="15375" width="15.625" style="34" customWidth="1"/>
    <col min="15376" max="15377" width="10.625" style="34" customWidth="1"/>
    <col min="15378" max="15378" width="15.625" style="34" customWidth="1"/>
    <col min="15379" max="15616" width="9" style="34"/>
    <col min="15617" max="15617" width="6.625" style="34" customWidth="1"/>
    <col min="15618" max="15618" width="7.875" style="34" customWidth="1"/>
    <col min="15619" max="15619" width="8.375" style="34" customWidth="1"/>
    <col min="15620" max="15620" width="8.125" style="34" customWidth="1"/>
    <col min="15621" max="15621" width="40.375" style="34" customWidth="1"/>
    <col min="15622" max="15622" width="16.25" style="34" customWidth="1"/>
    <col min="15623" max="15623" width="14.875" style="34" customWidth="1"/>
    <col min="15624" max="15624" width="8.625" style="34" customWidth="1"/>
    <col min="15625" max="15625" width="15.875" style="34" customWidth="1"/>
    <col min="15626" max="15626" width="13.5" style="34" customWidth="1"/>
    <col min="15627" max="15629" width="0" style="34" hidden="1" customWidth="1"/>
    <col min="15630" max="15630" width="24.625" style="34" customWidth="1"/>
    <col min="15631" max="15631" width="15.625" style="34" customWidth="1"/>
    <col min="15632" max="15633" width="10.625" style="34" customWidth="1"/>
    <col min="15634" max="15634" width="15.625" style="34" customWidth="1"/>
    <col min="15635" max="15872" width="9" style="34"/>
    <col min="15873" max="15873" width="6.625" style="34" customWidth="1"/>
    <col min="15874" max="15874" width="7.875" style="34" customWidth="1"/>
    <col min="15875" max="15875" width="8.375" style="34" customWidth="1"/>
    <col min="15876" max="15876" width="8.125" style="34" customWidth="1"/>
    <col min="15877" max="15877" width="40.375" style="34" customWidth="1"/>
    <col min="15878" max="15878" width="16.25" style="34" customWidth="1"/>
    <col min="15879" max="15879" width="14.875" style="34" customWidth="1"/>
    <col min="15880" max="15880" width="8.625" style="34" customWidth="1"/>
    <col min="15881" max="15881" width="15.875" style="34" customWidth="1"/>
    <col min="15882" max="15882" width="13.5" style="34" customWidth="1"/>
    <col min="15883" max="15885" width="0" style="34" hidden="1" customWidth="1"/>
    <col min="15886" max="15886" width="24.625" style="34" customWidth="1"/>
    <col min="15887" max="15887" width="15.625" style="34" customWidth="1"/>
    <col min="15888" max="15889" width="10.625" style="34" customWidth="1"/>
    <col min="15890" max="15890" width="15.625" style="34" customWidth="1"/>
    <col min="15891" max="16128" width="9" style="34"/>
    <col min="16129" max="16129" width="6.625" style="34" customWidth="1"/>
    <col min="16130" max="16130" width="7.875" style="34" customWidth="1"/>
    <col min="16131" max="16131" width="8.375" style="34" customWidth="1"/>
    <col min="16132" max="16132" width="8.125" style="34" customWidth="1"/>
    <col min="16133" max="16133" width="40.375" style="34" customWidth="1"/>
    <col min="16134" max="16134" width="16.25" style="34" customWidth="1"/>
    <col min="16135" max="16135" width="14.875" style="34" customWidth="1"/>
    <col min="16136" max="16136" width="8.625" style="34" customWidth="1"/>
    <col min="16137" max="16137" width="15.875" style="34" customWidth="1"/>
    <col min="16138" max="16138" width="13.5" style="34" customWidth="1"/>
    <col min="16139" max="16141" width="0" style="34" hidden="1" customWidth="1"/>
    <col min="16142" max="16142" width="24.625" style="34" customWidth="1"/>
    <col min="16143" max="16143" width="15.625" style="34" customWidth="1"/>
    <col min="16144" max="16145" width="10.625" style="34" customWidth="1"/>
    <col min="16146" max="16146" width="15.625" style="34" customWidth="1"/>
    <col min="16147" max="16384" width="9" style="34"/>
  </cols>
  <sheetData>
    <row r="1" spans="1:14" ht="34.15" customHeight="1" thickBot="1">
      <c r="A1" s="23" t="s">
        <v>37</v>
      </c>
      <c r="B1" s="24" t="s">
        <v>269</v>
      </c>
      <c r="C1" s="24" t="s">
        <v>270</v>
      </c>
      <c r="D1" s="25" t="s">
        <v>271</v>
      </c>
      <c r="E1" s="26" t="s">
        <v>912</v>
      </c>
      <c r="F1" s="27" t="s">
        <v>520</v>
      </c>
      <c r="G1" s="27" t="s">
        <v>521</v>
      </c>
      <c r="H1" s="28" t="s">
        <v>522</v>
      </c>
      <c r="I1" s="29" t="s">
        <v>523</v>
      </c>
      <c r="J1" s="29" t="s">
        <v>272</v>
      </c>
      <c r="K1" s="30" t="s">
        <v>524</v>
      </c>
      <c r="L1" s="31" t="s">
        <v>522</v>
      </c>
      <c r="M1" s="32" t="s">
        <v>523</v>
      </c>
      <c r="N1" s="33" t="s">
        <v>273</v>
      </c>
    </row>
    <row r="2" spans="1:14" ht="42" customHeight="1" thickBot="1">
      <c r="A2" s="674" t="s">
        <v>80</v>
      </c>
      <c r="B2" s="36" t="s">
        <v>38</v>
      </c>
      <c r="C2" s="37"/>
      <c r="D2" s="38" t="s">
        <v>2</v>
      </c>
      <c r="E2" s="124" t="s">
        <v>977</v>
      </c>
      <c r="F2" s="39" t="s">
        <v>580</v>
      </c>
      <c r="G2" s="40" t="s">
        <v>577</v>
      </c>
      <c r="H2" s="41">
        <v>605</v>
      </c>
      <c r="I2" s="42"/>
      <c r="J2" s="43"/>
      <c r="K2" s="44"/>
      <c r="L2" s="45"/>
      <c r="M2" s="46"/>
      <c r="N2" s="37" t="s">
        <v>274</v>
      </c>
    </row>
    <row r="3" spans="1:14" ht="42" customHeight="1" thickBot="1">
      <c r="A3" s="675"/>
      <c r="B3" s="230" t="s">
        <v>605</v>
      </c>
      <c r="C3" s="37"/>
      <c r="D3" s="38" t="s">
        <v>606</v>
      </c>
      <c r="E3" s="39" t="s">
        <v>607</v>
      </c>
      <c r="F3" s="39"/>
      <c r="G3" s="40"/>
      <c r="H3" s="41"/>
      <c r="I3" s="42"/>
      <c r="J3" s="229"/>
      <c r="K3" s="44"/>
      <c r="L3" s="45"/>
      <c r="M3" s="46"/>
      <c r="N3" s="47" t="s">
        <v>608</v>
      </c>
    </row>
    <row r="4" spans="1:14" ht="34.15" customHeight="1" thickBot="1">
      <c r="A4" s="35" t="s">
        <v>80</v>
      </c>
      <c r="B4" s="48" t="s">
        <v>46</v>
      </c>
      <c r="C4" s="49"/>
      <c r="D4" s="50" t="s">
        <v>1</v>
      </c>
      <c r="E4" s="686" t="s">
        <v>729</v>
      </c>
      <c r="F4" s="686" t="s">
        <v>275</v>
      </c>
      <c r="G4" s="721"/>
      <c r="H4" s="691"/>
      <c r="I4" s="724"/>
      <c r="J4" s="699"/>
      <c r="K4" s="44"/>
      <c r="L4" s="45"/>
      <c r="M4" s="46"/>
      <c r="N4" s="708" t="s">
        <v>276</v>
      </c>
    </row>
    <row r="5" spans="1:14" ht="34.15" customHeight="1" thickBot="1">
      <c r="A5" s="51" t="s">
        <v>79</v>
      </c>
      <c r="B5" s="713" t="s">
        <v>277</v>
      </c>
      <c r="C5" s="714"/>
      <c r="D5" s="715"/>
      <c r="E5" s="712"/>
      <c r="F5" s="712"/>
      <c r="G5" s="722"/>
      <c r="H5" s="692"/>
      <c r="I5" s="711"/>
      <c r="J5" s="700"/>
      <c r="K5" s="44"/>
      <c r="L5" s="45"/>
      <c r="M5" s="46"/>
      <c r="N5" s="709"/>
    </row>
    <row r="6" spans="1:14" ht="34.15" customHeight="1" thickBot="1">
      <c r="A6" s="51" t="s">
        <v>66</v>
      </c>
      <c r="B6" s="52" t="s">
        <v>66</v>
      </c>
      <c r="C6" s="53" t="s">
        <v>278</v>
      </c>
      <c r="D6" s="54" t="s">
        <v>279</v>
      </c>
      <c r="E6" s="687"/>
      <c r="F6" s="687"/>
      <c r="G6" s="723"/>
      <c r="H6" s="693"/>
      <c r="I6" s="725"/>
      <c r="J6" s="701"/>
      <c r="K6" s="44"/>
      <c r="L6" s="45"/>
      <c r="M6" s="46"/>
      <c r="N6" s="710"/>
    </row>
    <row r="7" spans="1:14" ht="34.15" customHeight="1">
      <c r="A7" s="684" t="s">
        <v>78</v>
      </c>
      <c r="B7" s="81" t="s">
        <v>78</v>
      </c>
      <c r="C7" s="82" t="s">
        <v>280</v>
      </c>
      <c r="D7" s="83" t="s">
        <v>12</v>
      </c>
      <c r="E7" s="84" t="s">
        <v>500</v>
      </c>
      <c r="F7" s="84" t="s">
        <v>281</v>
      </c>
      <c r="G7" s="85" t="s">
        <v>282</v>
      </c>
      <c r="H7" s="86"/>
      <c r="I7" s="87" t="s">
        <v>283</v>
      </c>
      <c r="J7" s="81"/>
      <c r="K7" s="44" t="s">
        <v>525</v>
      </c>
      <c r="L7" s="45"/>
      <c r="M7" s="71" t="s">
        <v>284</v>
      </c>
      <c r="N7" s="88" t="s">
        <v>285</v>
      </c>
    </row>
    <row r="8" spans="1:14" ht="34.15" customHeight="1">
      <c r="A8" s="685"/>
      <c r="B8" s="89" t="s">
        <v>78</v>
      </c>
      <c r="C8" s="90" t="s">
        <v>286</v>
      </c>
      <c r="D8" s="71" t="s">
        <v>9</v>
      </c>
      <c r="E8" s="91" t="s">
        <v>287</v>
      </c>
      <c r="F8" s="92" t="s">
        <v>288</v>
      </c>
      <c r="G8" s="93" t="s">
        <v>289</v>
      </c>
      <c r="H8" s="45"/>
      <c r="I8" s="94"/>
      <c r="J8" s="95"/>
      <c r="K8" s="44"/>
      <c r="L8" s="45"/>
      <c r="M8" s="71"/>
      <c r="N8" s="96" t="s">
        <v>290</v>
      </c>
    </row>
    <row r="9" spans="1:14" ht="34.15" customHeight="1">
      <c r="A9" s="685"/>
      <c r="B9" s="89" t="s">
        <v>78</v>
      </c>
      <c r="C9" s="97" t="s">
        <v>291</v>
      </c>
      <c r="D9" s="71" t="s">
        <v>292</v>
      </c>
      <c r="E9" s="91" t="s">
        <v>211</v>
      </c>
      <c r="F9" s="92" t="s">
        <v>293</v>
      </c>
      <c r="G9" s="93" t="s">
        <v>294</v>
      </c>
      <c r="H9" s="45" t="s">
        <v>295</v>
      </c>
      <c r="I9" s="94"/>
      <c r="J9" s="70"/>
      <c r="K9" s="98"/>
      <c r="L9" s="99"/>
      <c r="M9" s="100"/>
      <c r="N9" s="96" t="s">
        <v>296</v>
      </c>
    </row>
    <row r="10" spans="1:14" ht="34.15" customHeight="1" thickBot="1">
      <c r="A10" s="685"/>
      <c r="B10" s="101" t="s">
        <v>297</v>
      </c>
      <c r="C10" s="102" t="s">
        <v>298</v>
      </c>
      <c r="D10" s="103" t="s">
        <v>299</v>
      </c>
      <c r="E10" s="104" t="s">
        <v>208</v>
      </c>
      <c r="F10" s="74" t="s">
        <v>300</v>
      </c>
      <c r="G10" s="64" t="s">
        <v>301</v>
      </c>
      <c r="H10" s="67" t="s">
        <v>302</v>
      </c>
      <c r="I10" s="105"/>
      <c r="J10" s="106"/>
      <c r="K10" s="98"/>
      <c r="L10" s="99"/>
      <c r="M10" s="100"/>
      <c r="N10" s="107" t="s">
        <v>303</v>
      </c>
    </row>
    <row r="11" spans="1:14" ht="34.15" customHeight="1" thickBot="1">
      <c r="A11" s="675"/>
      <c r="B11" s="108" t="s">
        <v>304</v>
      </c>
      <c r="C11" s="109" t="s">
        <v>305</v>
      </c>
      <c r="D11" s="110" t="s">
        <v>2</v>
      </c>
      <c r="E11" s="686" t="s">
        <v>28</v>
      </c>
      <c r="F11" s="686" t="s">
        <v>306</v>
      </c>
      <c r="G11" s="702" t="s">
        <v>307</v>
      </c>
      <c r="H11" s="702" t="s">
        <v>308</v>
      </c>
      <c r="I11" s="716" t="s">
        <v>309</v>
      </c>
      <c r="J11" s="718" t="s">
        <v>310</v>
      </c>
      <c r="K11" s="111" t="s">
        <v>526</v>
      </c>
      <c r="L11" s="112" t="s">
        <v>311</v>
      </c>
      <c r="M11" s="113" t="s">
        <v>312</v>
      </c>
      <c r="N11" s="704" t="s">
        <v>303</v>
      </c>
    </row>
    <row r="12" spans="1:14" ht="34.15" customHeight="1" thickBot="1">
      <c r="A12" s="51" t="s">
        <v>77</v>
      </c>
      <c r="B12" s="679" t="s">
        <v>277</v>
      </c>
      <c r="C12" s="707"/>
      <c r="D12" s="707"/>
      <c r="E12" s="687"/>
      <c r="F12" s="687"/>
      <c r="G12" s="703"/>
      <c r="H12" s="703"/>
      <c r="I12" s="717"/>
      <c r="J12" s="719"/>
      <c r="K12" s="114"/>
      <c r="L12" s="115"/>
      <c r="M12" s="116"/>
      <c r="N12" s="706"/>
    </row>
    <row r="13" spans="1:14" ht="34.15" customHeight="1">
      <c r="A13" s="674" t="s">
        <v>76</v>
      </c>
      <c r="B13" s="117" t="s">
        <v>603</v>
      </c>
      <c r="C13" s="85" t="s">
        <v>602</v>
      </c>
      <c r="D13" s="118" t="s">
        <v>279</v>
      </c>
      <c r="E13" s="84" t="s">
        <v>639</v>
      </c>
      <c r="F13" s="84" t="s">
        <v>315</v>
      </c>
      <c r="G13" s="85" t="s">
        <v>316</v>
      </c>
      <c r="H13" s="85" t="s">
        <v>317</v>
      </c>
      <c r="I13" s="119" t="s">
        <v>318</v>
      </c>
      <c r="J13" s="95"/>
      <c r="K13" s="114"/>
      <c r="L13" s="115"/>
      <c r="M13" s="116"/>
      <c r="N13" s="120" t="s">
        <v>604</v>
      </c>
    </row>
    <row r="14" spans="1:14" ht="34.15" customHeight="1">
      <c r="A14" s="683"/>
      <c r="B14" s="251" t="s">
        <v>747</v>
      </c>
      <c r="C14" s="40"/>
      <c r="D14" s="252" t="s">
        <v>292</v>
      </c>
      <c r="E14" s="39" t="s">
        <v>208</v>
      </c>
      <c r="F14" s="39"/>
      <c r="G14" s="40"/>
      <c r="H14" s="40"/>
      <c r="I14" s="122"/>
      <c r="J14" s="106"/>
      <c r="K14" s="581"/>
      <c r="L14" s="582"/>
      <c r="M14" s="583"/>
      <c r="N14" s="77" t="s">
        <v>750</v>
      </c>
    </row>
    <row r="15" spans="1:14" ht="34.15" customHeight="1">
      <c r="A15" s="683"/>
      <c r="B15" s="89" t="s">
        <v>76</v>
      </c>
      <c r="C15" s="45">
        <v>502</v>
      </c>
      <c r="D15" s="71" t="s">
        <v>9</v>
      </c>
      <c r="E15" s="92" t="s">
        <v>639</v>
      </c>
      <c r="F15" s="92" t="s">
        <v>320</v>
      </c>
      <c r="G15" s="93" t="s">
        <v>321</v>
      </c>
      <c r="H15" s="93" t="s">
        <v>322</v>
      </c>
      <c r="I15" s="242"/>
      <c r="J15" s="70"/>
      <c r="K15" s="584"/>
      <c r="L15" s="585"/>
      <c r="M15" s="586"/>
      <c r="N15" s="96" t="s">
        <v>1146</v>
      </c>
    </row>
    <row r="16" spans="1:14" ht="34.15" customHeight="1" thickBot="1">
      <c r="A16" s="675"/>
      <c r="B16" s="364" t="s">
        <v>76</v>
      </c>
      <c r="C16" s="67"/>
      <c r="D16" s="365" t="s">
        <v>12</v>
      </c>
      <c r="E16" s="74" t="s">
        <v>1046</v>
      </c>
      <c r="F16" s="74"/>
      <c r="G16" s="64"/>
      <c r="H16" s="64"/>
      <c r="I16" s="368"/>
      <c r="J16" s="366"/>
      <c r="K16" s="369"/>
      <c r="L16" s="370"/>
      <c r="M16" s="371"/>
      <c r="N16" s="237" t="s">
        <v>1047</v>
      </c>
    </row>
    <row r="17" spans="1:14" ht="34.15" customHeight="1">
      <c r="A17" s="674" t="s">
        <v>75</v>
      </c>
      <c r="B17" s="676" t="s">
        <v>277</v>
      </c>
      <c r="C17" s="677"/>
      <c r="D17" s="678"/>
      <c r="E17" s="680" t="s">
        <v>969</v>
      </c>
      <c r="F17" s="682" t="s">
        <v>324</v>
      </c>
      <c r="G17" s="698" t="s">
        <v>325</v>
      </c>
      <c r="H17" s="692" t="s">
        <v>326</v>
      </c>
      <c r="I17" s="711" t="s">
        <v>327</v>
      </c>
      <c r="J17" s="700"/>
      <c r="K17" s="151" t="s">
        <v>325</v>
      </c>
      <c r="L17" s="142" t="s">
        <v>326</v>
      </c>
      <c r="M17" s="367" t="s">
        <v>327</v>
      </c>
      <c r="N17" s="720" t="s">
        <v>965</v>
      </c>
    </row>
    <row r="18" spans="1:14" ht="17.25" customHeight="1" thickBot="1">
      <c r="A18" s="675"/>
      <c r="B18" s="679"/>
      <c r="C18" s="677"/>
      <c r="D18" s="678"/>
      <c r="E18" s="681"/>
      <c r="F18" s="682"/>
      <c r="G18" s="698"/>
      <c r="H18" s="692"/>
      <c r="I18" s="711"/>
      <c r="J18" s="700"/>
      <c r="K18" s="98" t="s">
        <v>329</v>
      </c>
      <c r="L18" s="99" t="s">
        <v>330</v>
      </c>
      <c r="M18" s="100" t="s">
        <v>331</v>
      </c>
      <c r="N18" s="720"/>
    </row>
    <row r="19" spans="1:14" ht="54" customHeight="1" thickBot="1">
      <c r="A19" s="316" t="s">
        <v>74</v>
      </c>
      <c r="B19" s="688" t="s">
        <v>277</v>
      </c>
      <c r="C19" s="689"/>
      <c r="D19" s="690"/>
      <c r="E19" s="140" t="s">
        <v>970</v>
      </c>
      <c r="F19" s="155"/>
      <c r="G19" s="65"/>
      <c r="H19" s="156"/>
      <c r="I19" s="372"/>
      <c r="J19" s="43"/>
      <c r="K19" s="150"/>
      <c r="L19" s="86"/>
      <c r="M19" s="83"/>
      <c r="N19" s="126" t="s">
        <v>985</v>
      </c>
    </row>
    <row r="20" spans="1:14" ht="34.15" customHeight="1" thickBot="1">
      <c r="A20" s="123" t="s">
        <v>73</v>
      </c>
      <c r="B20" s="688" t="s">
        <v>332</v>
      </c>
      <c r="C20" s="689"/>
      <c r="D20" s="690"/>
      <c r="E20" s="124" t="s">
        <v>668</v>
      </c>
      <c r="F20" s="124" t="s">
        <v>333</v>
      </c>
      <c r="G20" s="65" t="s">
        <v>334</v>
      </c>
      <c r="H20" s="65" t="s">
        <v>335</v>
      </c>
      <c r="I20" s="51"/>
      <c r="J20" s="125" t="s">
        <v>336</v>
      </c>
      <c r="K20" s="70" t="s">
        <v>337</v>
      </c>
      <c r="L20" s="45" t="s">
        <v>338</v>
      </c>
      <c r="M20" s="71" t="s">
        <v>339</v>
      </c>
      <c r="N20" s="126" t="s">
        <v>665</v>
      </c>
    </row>
    <row r="21" spans="1:14" ht="34.15" customHeight="1">
      <c r="A21" s="704" t="s">
        <v>72</v>
      </c>
      <c r="B21" s="81" t="s">
        <v>340</v>
      </c>
      <c r="C21" s="82" t="s">
        <v>341</v>
      </c>
      <c r="D21" s="127" t="s">
        <v>1</v>
      </c>
      <c r="E21" s="128" t="s">
        <v>505</v>
      </c>
      <c r="F21" s="128" t="s">
        <v>342</v>
      </c>
      <c r="G21" s="82" t="s">
        <v>343</v>
      </c>
      <c r="H21" s="82" t="s">
        <v>344</v>
      </c>
      <c r="I21" s="129" t="s">
        <v>345</v>
      </c>
      <c r="J21" s="130"/>
      <c r="K21" s="70"/>
      <c r="L21" s="45"/>
      <c r="M21" s="71"/>
      <c r="N21" s="131" t="s">
        <v>346</v>
      </c>
    </row>
    <row r="22" spans="1:14" ht="34.15" customHeight="1">
      <c r="A22" s="705"/>
      <c r="B22" s="132" t="s">
        <v>347</v>
      </c>
      <c r="C22" s="133" t="s">
        <v>348</v>
      </c>
      <c r="D22" s="134" t="s">
        <v>0</v>
      </c>
      <c r="E22" s="92" t="s">
        <v>506</v>
      </c>
      <c r="F22" s="92" t="s">
        <v>349</v>
      </c>
      <c r="G22" s="93" t="s">
        <v>350</v>
      </c>
      <c r="H22" s="45"/>
      <c r="I22" s="94" t="s">
        <v>351</v>
      </c>
      <c r="J22" s="106"/>
      <c r="K22" s="70"/>
      <c r="L22" s="45"/>
      <c r="M22" s="71"/>
      <c r="N22" s="135" t="s">
        <v>527</v>
      </c>
    </row>
    <row r="23" spans="1:14" ht="34.15" customHeight="1">
      <c r="A23" s="705"/>
      <c r="B23" s="136" t="s">
        <v>352</v>
      </c>
      <c r="C23" s="137" t="s">
        <v>353</v>
      </c>
      <c r="D23" s="100" t="s">
        <v>10</v>
      </c>
      <c r="E23" s="92" t="s">
        <v>639</v>
      </c>
      <c r="F23" s="39" t="s">
        <v>355</v>
      </c>
      <c r="G23" s="40" t="s">
        <v>356</v>
      </c>
      <c r="H23" s="40" t="s">
        <v>357</v>
      </c>
      <c r="I23" s="122" t="s">
        <v>358</v>
      </c>
      <c r="J23" s="98" t="s">
        <v>359</v>
      </c>
      <c r="K23" s="70"/>
      <c r="L23" s="45"/>
      <c r="M23" s="71"/>
      <c r="N23" s="96" t="s">
        <v>1147</v>
      </c>
    </row>
    <row r="24" spans="1:14" ht="34.15" customHeight="1">
      <c r="A24" s="705"/>
      <c r="B24" s="89" t="s">
        <v>72</v>
      </c>
      <c r="C24" s="90" t="s">
        <v>480</v>
      </c>
      <c r="D24" s="45" t="s">
        <v>9</v>
      </c>
      <c r="E24" s="92" t="s">
        <v>561</v>
      </c>
      <c r="F24" s="92" t="s">
        <v>541</v>
      </c>
      <c r="G24" s="93" t="s">
        <v>542</v>
      </c>
      <c r="H24" s="45" t="s">
        <v>539</v>
      </c>
      <c r="I24" s="94"/>
      <c r="J24" s="44"/>
      <c r="K24" s="70"/>
      <c r="L24" s="45"/>
      <c r="M24" s="71"/>
      <c r="N24" s="96" t="s">
        <v>540</v>
      </c>
    </row>
    <row r="25" spans="1:14" ht="34.15" customHeight="1" thickBot="1">
      <c r="A25" s="706"/>
      <c r="B25" s="315" t="s">
        <v>72</v>
      </c>
      <c r="C25" s="317" t="s">
        <v>361</v>
      </c>
      <c r="D25" s="67" t="s">
        <v>12</v>
      </c>
      <c r="E25" s="104" t="s">
        <v>610</v>
      </c>
      <c r="F25" s="39" t="s">
        <v>541</v>
      </c>
      <c r="G25" s="40" t="s">
        <v>542</v>
      </c>
      <c r="H25" s="41" t="s">
        <v>539</v>
      </c>
      <c r="I25" s="316"/>
      <c r="J25" s="318"/>
      <c r="K25" s="95"/>
      <c r="L25" s="142"/>
      <c r="M25" s="152"/>
      <c r="N25" s="47" t="s">
        <v>1145</v>
      </c>
    </row>
    <row r="26" spans="1:14" ht="34.15" customHeight="1">
      <c r="A26" s="683" t="s">
        <v>71</v>
      </c>
      <c r="B26" s="132" t="s">
        <v>899</v>
      </c>
      <c r="C26" s="353" t="s">
        <v>906</v>
      </c>
      <c r="D26" s="142" t="s">
        <v>1</v>
      </c>
      <c r="E26" s="140" t="s">
        <v>368</v>
      </c>
      <c r="F26" s="140" t="s">
        <v>548</v>
      </c>
      <c r="G26" s="141" t="s">
        <v>369</v>
      </c>
      <c r="H26" s="142" t="s">
        <v>549</v>
      </c>
      <c r="I26" s="143" t="s">
        <v>543</v>
      </c>
      <c r="J26" s="144"/>
      <c r="K26" s="70"/>
      <c r="L26" s="45"/>
      <c r="M26" s="71"/>
      <c r="N26" s="88" t="s">
        <v>370</v>
      </c>
    </row>
    <row r="27" spans="1:14" ht="34.15" customHeight="1">
      <c r="A27" s="683"/>
      <c r="B27" s="132" t="s">
        <v>899</v>
      </c>
      <c r="C27" s="352" t="s">
        <v>907</v>
      </c>
      <c r="D27" s="41" t="s">
        <v>0</v>
      </c>
      <c r="E27" s="140" t="s">
        <v>937</v>
      </c>
      <c r="F27" s="140"/>
      <c r="G27" s="141"/>
      <c r="H27" s="142"/>
      <c r="I27" s="351"/>
      <c r="J27" s="144"/>
      <c r="K27" s="95"/>
      <c r="L27" s="142"/>
      <c r="M27" s="152"/>
      <c r="N27" s="131" t="s">
        <v>938</v>
      </c>
    </row>
    <row r="28" spans="1:14" ht="34.15" customHeight="1">
      <c r="A28" s="683"/>
      <c r="B28" s="132" t="s">
        <v>371</v>
      </c>
      <c r="C28" s="145" t="s">
        <v>372</v>
      </c>
      <c r="D28" s="99" t="s">
        <v>2</v>
      </c>
      <c r="E28" s="140" t="s">
        <v>952</v>
      </c>
      <c r="F28" s="140"/>
      <c r="G28" s="141"/>
      <c r="H28" s="45"/>
      <c r="I28" s="75"/>
      <c r="J28" s="144"/>
      <c r="K28" s="70"/>
      <c r="L28" s="45"/>
      <c r="M28" s="71"/>
      <c r="N28" s="135" t="s">
        <v>986</v>
      </c>
    </row>
    <row r="29" spans="1:14" ht="34.15" customHeight="1">
      <c r="A29" s="683"/>
      <c r="B29" s="132" t="s">
        <v>669</v>
      </c>
      <c r="C29" s="145" t="s">
        <v>988</v>
      </c>
      <c r="D29" s="99" t="s">
        <v>11</v>
      </c>
      <c r="E29" s="160" t="s">
        <v>849</v>
      </c>
      <c r="F29" s="140"/>
      <c r="G29" s="141"/>
      <c r="H29" s="45"/>
      <c r="I29" s="75"/>
      <c r="J29" s="144"/>
      <c r="K29" s="70"/>
      <c r="L29" s="45"/>
      <c r="M29" s="71"/>
      <c r="N29" s="135" t="s">
        <v>989</v>
      </c>
    </row>
    <row r="30" spans="1:14" ht="34.15" customHeight="1">
      <c r="A30" s="683"/>
      <c r="B30" s="147" t="s">
        <v>374</v>
      </c>
      <c r="C30" s="145">
        <v>1003</v>
      </c>
      <c r="D30" s="45" t="s">
        <v>10</v>
      </c>
      <c r="E30" s="92" t="s">
        <v>375</v>
      </c>
      <c r="F30" s="140" t="s">
        <v>376</v>
      </c>
      <c r="G30" s="141" t="s">
        <v>377</v>
      </c>
      <c r="H30" s="45" t="s">
        <v>378</v>
      </c>
      <c r="I30" s="75" t="s">
        <v>379</v>
      </c>
      <c r="J30" s="89"/>
      <c r="K30" s="70"/>
      <c r="L30" s="45"/>
      <c r="M30" s="71"/>
      <c r="N30" s="135" t="s">
        <v>528</v>
      </c>
    </row>
    <row r="31" spans="1:14" ht="34.15" customHeight="1">
      <c r="A31" s="683"/>
      <c r="B31" s="148" t="s">
        <v>71</v>
      </c>
      <c r="C31" s="145">
        <v>1002</v>
      </c>
      <c r="D31" s="45" t="s">
        <v>9</v>
      </c>
      <c r="E31" s="92" t="s">
        <v>609</v>
      </c>
      <c r="F31" s="92" t="s">
        <v>381</v>
      </c>
      <c r="G31" s="93" t="s">
        <v>382</v>
      </c>
      <c r="H31" s="41"/>
      <c r="I31" s="94"/>
      <c r="J31" s="138" t="s">
        <v>383</v>
      </c>
      <c r="K31" s="70"/>
      <c r="L31" s="45"/>
      <c r="M31" s="71"/>
      <c r="N31" s="96" t="s">
        <v>384</v>
      </c>
    </row>
    <row r="32" spans="1:14" ht="34.15" customHeight="1">
      <c r="A32" s="683"/>
      <c r="B32" s="148" t="s">
        <v>71</v>
      </c>
      <c r="C32" s="145">
        <v>1001</v>
      </c>
      <c r="D32" s="45" t="s">
        <v>12</v>
      </c>
      <c r="E32" s="92" t="s">
        <v>385</v>
      </c>
      <c r="F32" s="92" t="s">
        <v>386</v>
      </c>
      <c r="G32" s="93" t="s">
        <v>387</v>
      </c>
      <c r="H32" s="45" t="s">
        <v>388</v>
      </c>
      <c r="I32" s="242" t="s">
        <v>389</v>
      </c>
      <c r="J32" s="89"/>
      <c r="K32" s="70"/>
      <c r="L32" s="45"/>
      <c r="M32" s="71"/>
      <c r="N32" s="96" t="s">
        <v>390</v>
      </c>
    </row>
    <row r="33" spans="1:14" ht="34.15" customHeight="1" thickBot="1">
      <c r="A33" s="683"/>
      <c r="B33" s="148" t="s">
        <v>669</v>
      </c>
      <c r="C33" s="145"/>
      <c r="D33" s="67" t="s">
        <v>11</v>
      </c>
      <c r="E33" s="104" t="s">
        <v>664</v>
      </c>
      <c r="F33" s="39"/>
      <c r="G33" s="141"/>
      <c r="H33" s="142"/>
      <c r="I33" s="149"/>
      <c r="J33" s="76"/>
      <c r="K33" s="95"/>
      <c r="L33" s="142"/>
      <c r="M33" s="152"/>
      <c r="N33" s="237" t="s">
        <v>665</v>
      </c>
    </row>
    <row r="34" spans="1:14" ht="34.15" customHeight="1">
      <c r="A34" s="674" t="s">
        <v>70</v>
      </c>
      <c r="B34" s="117" t="s">
        <v>391</v>
      </c>
      <c r="C34" s="150" t="s">
        <v>392</v>
      </c>
      <c r="D34" s="86" t="s">
        <v>313</v>
      </c>
      <c r="E34" s="84" t="s">
        <v>393</v>
      </c>
      <c r="F34" s="84" t="s">
        <v>394</v>
      </c>
      <c r="G34" s="85" t="s">
        <v>547</v>
      </c>
      <c r="H34" s="85" t="s">
        <v>395</v>
      </c>
      <c r="I34" s="83" t="s">
        <v>396</v>
      </c>
      <c r="J34" s="81"/>
      <c r="K34" s="70"/>
      <c r="L34" s="45"/>
      <c r="M34" s="71"/>
      <c r="N34" s="131" t="s">
        <v>397</v>
      </c>
    </row>
    <row r="35" spans="1:14" ht="34.15" customHeight="1">
      <c r="A35" s="683"/>
      <c r="B35" s="132" t="s">
        <v>398</v>
      </c>
      <c r="C35" s="151">
        <v>1103</v>
      </c>
      <c r="D35" s="142" t="s">
        <v>10</v>
      </c>
      <c r="E35" s="160" t="s">
        <v>849</v>
      </c>
      <c r="F35" s="140"/>
      <c r="G35" s="141"/>
      <c r="H35" s="141"/>
      <c r="I35" s="152"/>
      <c r="J35" s="76"/>
      <c r="K35" s="70"/>
      <c r="L35" s="45"/>
      <c r="M35" s="71"/>
      <c r="N35" s="96" t="s">
        <v>987</v>
      </c>
    </row>
    <row r="36" spans="1:14" ht="34.15" customHeight="1">
      <c r="A36" s="683"/>
      <c r="B36" s="147" t="s">
        <v>70</v>
      </c>
      <c r="C36" s="44">
        <v>1102</v>
      </c>
      <c r="D36" s="45" t="s">
        <v>9</v>
      </c>
      <c r="E36" s="374" t="s">
        <v>991</v>
      </c>
      <c r="F36" s="92" t="s">
        <v>400</v>
      </c>
      <c r="G36" s="93" t="s">
        <v>401</v>
      </c>
      <c r="H36" s="45"/>
      <c r="I36" s="94" t="s">
        <v>402</v>
      </c>
      <c r="J36" s="89"/>
      <c r="K36" s="70"/>
      <c r="L36" s="45"/>
      <c r="M36" s="71"/>
      <c r="N36" s="96" t="s">
        <v>992</v>
      </c>
    </row>
    <row r="37" spans="1:14" ht="34.15" customHeight="1" thickBot="1">
      <c r="A37" s="675"/>
      <c r="B37" s="63" t="s">
        <v>70</v>
      </c>
      <c r="C37" s="153">
        <v>1101</v>
      </c>
      <c r="D37" s="67" t="s">
        <v>12</v>
      </c>
      <c r="E37" s="420" t="s">
        <v>1091</v>
      </c>
      <c r="F37" s="92" t="s">
        <v>403</v>
      </c>
      <c r="G37" s="93" t="s">
        <v>404</v>
      </c>
      <c r="H37" s="45" t="s">
        <v>405</v>
      </c>
      <c r="I37" s="94" t="s">
        <v>406</v>
      </c>
      <c r="J37" s="144" t="s">
        <v>405</v>
      </c>
      <c r="K37" s="70"/>
      <c r="L37" s="45"/>
      <c r="M37" s="71"/>
      <c r="N37" s="154" t="s">
        <v>1092</v>
      </c>
    </row>
    <row r="38" spans="1:14" ht="34.15" customHeight="1" thickBot="1">
      <c r="A38" s="87" t="s">
        <v>69</v>
      </c>
      <c r="B38" s="688" t="s">
        <v>277</v>
      </c>
      <c r="C38" s="689"/>
      <c r="D38" s="690"/>
      <c r="E38" s="124" t="s">
        <v>975</v>
      </c>
      <c r="F38" s="155" t="s">
        <v>408</v>
      </c>
      <c r="G38" s="65" t="s">
        <v>329</v>
      </c>
      <c r="H38" s="156" t="s">
        <v>330</v>
      </c>
      <c r="I38" s="72" t="s">
        <v>331</v>
      </c>
      <c r="J38" s="157" t="s">
        <v>529</v>
      </c>
      <c r="K38" s="70"/>
      <c r="L38" s="45"/>
      <c r="M38" s="71"/>
      <c r="N38" s="126" t="s">
        <v>974</v>
      </c>
    </row>
    <row r="39" spans="1:14" ht="34.15" customHeight="1">
      <c r="A39" s="691" t="s">
        <v>68</v>
      </c>
      <c r="B39" s="95" t="s">
        <v>409</v>
      </c>
      <c r="C39" s="150" t="s">
        <v>1005</v>
      </c>
      <c r="D39" s="142" t="s">
        <v>1001</v>
      </c>
      <c r="E39" s="140" t="s">
        <v>1002</v>
      </c>
      <c r="F39" s="158"/>
      <c r="G39" s="85"/>
      <c r="H39" s="86"/>
      <c r="I39" s="87"/>
      <c r="J39" s="157"/>
      <c r="K39" s="70"/>
      <c r="L39" s="45"/>
      <c r="M39" s="71"/>
      <c r="N39" s="159" t="s">
        <v>1003</v>
      </c>
    </row>
    <row r="40" spans="1:14" ht="34.15" customHeight="1">
      <c r="A40" s="692"/>
      <c r="B40" s="95" t="s">
        <v>1004</v>
      </c>
      <c r="C40" s="151">
        <v>1305</v>
      </c>
      <c r="D40" s="142" t="s">
        <v>2</v>
      </c>
      <c r="E40" s="92" t="s">
        <v>689</v>
      </c>
      <c r="F40" s="160"/>
      <c r="G40" s="141"/>
      <c r="H40" s="142"/>
      <c r="I40" s="146"/>
      <c r="J40" s="161"/>
      <c r="K40" s="70"/>
      <c r="L40" s="45"/>
      <c r="M40" s="71"/>
      <c r="N40" s="159" t="s">
        <v>1006</v>
      </c>
    </row>
    <row r="41" spans="1:14" ht="34.15" customHeight="1">
      <c r="A41" s="692"/>
      <c r="B41" s="95" t="s">
        <v>411</v>
      </c>
      <c r="C41" s="151" t="s">
        <v>412</v>
      </c>
      <c r="D41" s="142" t="s">
        <v>292</v>
      </c>
      <c r="E41" s="160" t="s">
        <v>189</v>
      </c>
      <c r="F41" s="160" t="s">
        <v>413</v>
      </c>
      <c r="G41" s="141" t="s">
        <v>550</v>
      </c>
      <c r="H41" s="142"/>
      <c r="I41" s="146"/>
      <c r="J41" s="161"/>
      <c r="K41" s="70"/>
      <c r="L41" s="45"/>
      <c r="M41" s="71"/>
      <c r="N41" s="96" t="s">
        <v>414</v>
      </c>
    </row>
    <row r="42" spans="1:14" ht="34.15" customHeight="1">
      <c r="A42" s="692"/>
      <c r="B42" s="99" t="s">
        <v>68</v>
      </c>
      <c r="C42" s="375">
        <v>1302</v>
      </c>
      <c r="D42" s="45" t="s">
        <v>9</v>
      </c>
      <c r="E42" s="376" t="s">
        <v>1063</v>
      </c>
      <c r="F42" s="376" t="s">
        <v>415</v>
      </c>
      <c r="G42" s="93" t="s">
        <v>416</v>
      </c>
      <c r="H42" s="45" t="s">
        <v>417</v>
      </c>
      <c r="I42" s="94" t="s">
        <v>418</v>
      </c>
      <c r="J42" s="377"/>
      <c r="K42" s="70"/>
      <c r="L42" s="45"/>
      <c r="M42" s="71"/>
      <c r="N42" s="135" t="s">
        <v>1064</v>
      </c>
    </row>
    <row r="43" spans="1:14" ht="34.15" customHeight="1" thickBot="1">
      <c r="A43" s="693"/>
      <c r="B43" s="99" t="s">
        <v>68</v>
      </c>
      <c r="C43" s="73">
        <v>1301</v>
      </c>
      <c r="D43" s="41" t="s">
        <v>12</v>
      </c>
      <c r="E43" s="239" t="s">
        <v>993</v>
      </c>
      <c r="F43" s="66" t="s">
        <v>415</v>
      </c>
      <c r="G43" s="64" t="s">
        <v>416</v>
      </c>
      <c r="H43" s="67" t="s">
        <v>417</v>
      </c>
      <c r="I43" s="68" t="s">
        <v>418</v>
      </c>
      <c r="J43" s="69"/>
      <c r="K43" s="95"/>
      <c r="L43" s="142"/>
      <c r="M43" s="152"/>
      <c r="N43" s="47" t="s">
        <v>1065</v>
      </c>
    </row>
    <row r="44" spans="1:14" ht="34.15" customHeight="1" thickBot="1">
      <c r="A44" s="691" t="s">
        <v>67</v>
      </c>
      <c r="B44" s="85" t="s">
        <v>1051</v>
      </c>
      <c r="C44" s="85" t="s">
        <v>1052</v>
      </c>
      <c r="D44" s="85" t="s">
        <v>1050</v>
      </c>
      <c r="E44" s="158" t="s">
        <v>1154</v>
      </c>
      <c r="F44" s="66"/>
      <c r="G44" s="64"/>
      <c r="H44" s="67"/>
      <c r="I44" s="68"/>
      <c r="J44" s="69"/>
      <c r="K44" s="70"/>
      <c r="L44" s="45"/>
      <c r="M44" s="71"/>
      <c r="N44" s="120" t="s">
        <v>1053</v>
      </c>
    </row>
    <row r="45" spans="1:14" ht="34.15" customHeight="1">
      <c r="A45" s="692"/>
      <c r="B45" s="141" t="s">
        <v>67</v>
      </c>
      <c r="C45" s="141"/>
      <c r="D45" s="247" t="s">
        <v>11</v>
      </c>
      <c r="E45" s="354" t="s">
        <v>901</v>
      </c>
      <c r="F45" s="160"/>
      <c r="G45" s="141"/>
      <c r="H45" s="142"/>
      <c r="I45" s="152"/>
      <c r="J45" s="161"/>
      <c r="K45" s="70"/>
      <c r="L45" s="45"/>
      <c r="M45" s="71"/>
      <c r="N45" s="131" t="s">
        <v>749</v>
      </c>
    </row>
    <row r="46" spans="1:14" ht="34.15" customHeight="1" thickBot="1">
      <c r="A46" s="692"/>
      <c r="B46" s="93" t="s">
        <v>67</v>
      </c>
      <c r="C46" s="139"/>
      <c r="D46" s="248" t="s">
        <v>10</v>
      </c>
      <c r="E46" s="249" t="s">
        <v>776</v>
      </c>
      <c r="F46" s="240"/>
      <c r="G46" s="236"/>
      <c r="H46" s="121"/>
      <c r="I46" s="100"/>
      <c r="J46" s="250"/>
      <c r="K46" s="70"/>
      <c r="L46" s="45"/>
      <c r="M46" s="71"/>
      <c r="N46" s="154" t="s">
        <v>760</v>
      </c>
    </row>
    <row r="47" spans="1:14" ht="36" customHeight="1" thickBot="1">
      <c r="A47" s="697"/>
      <c r="B47" s="236" t="s">
        <v>820</v>
      </c>
      <c r="C47" s="236"/>
      <c r="D47" s="241" t="s">
        <v>279</v>
      </c>
      <c r="E47" s="240" t="s">
        <v>667</v>
      </c>
      <c r="F47" s="66"/>
      <c r="G47" s="64"/>
      <c r="H47" s="67"/>
      <c r="I47" s="75"/>
      <c r="J47" s="238"/>
      <c r="K47" s="70"/>
      <c r="L47" s="45"/>
      <c r="M47" s="71"/>
      <c r="N47" s="107" t="s">
        <v>666</v>
      </c>
    </row>
    <row r="48" spans="1:14" ht="34.15" customHeight="1" thickBot="1">
      <c r="A48" s="72" t="s">
        <v>66</v>
      </c>
      <c r="B48" s="63" t="s">
        <v>670</v>
      </c>
      <c r="C48" s="64">
        <v>1501</v>
      </c>
      <c r="D48" s="73" t="s">
        <v>7</v>
      </c>
      <c r="E48" s="74" t="s">
        <v>184</v>
      </c>
      <c r="F48" s="74" t="s">
        <v>422</v>
      </c>
      <c r="G48" s="64" t="s">
        <v>423</v>
      </c>
      <c r="H48" s="67"/>
      <c r="I48" s="75" t="s">
        <v>424</v>
      </c>
      <c r="J48" s="76"/>
      <c r="K48" s="70"/>
      <c r="L48" s="45"/>
      <c r="M48" s="71"/>
      <c r="N48" s="77" t="s">
        <v>425</v>
      </c>
    </row>
    <row r="49" spans="1:14" ht="34.15" customHeight="1" thickBot="1">
      <c r="A49" s="72" t="s">
        <v>6</v>
      </c>
      <c r="B49" s="162" t="s">
        <v>426</v>
      </c>
      <c r="C49" s="163" t="s">
        <v>427</v>
      </c>
      <c r="D49" s="65" t="s">
        <v>428</v>
      </c>
      <c r="E49" s="124" t="s">
        <v>429</v>
      </c>
      <c r="F49" s="155" t="s">
        <v>430</v>
      </c>
      <c r="G49" s="65" t="s">
        <v>431</v>
      </c>
      <c r="H49" s="156"/>
      <c r="I49" s="72" t="s">
        <v>432</v>
      </c>
      <c r="J49" s="164" t="s">
        <v>433</v>
      </c>
      <c r="K49" s="70"/>
      <c r="L49" s="45"/>
      <c r="M49" s="71"/>
      <c r="N49" s="37" t="s">
        <v>434</v>
      </c>
    </row>
    <row r="50" spans="1:14" ht="34.15" customHeight="1" thickBot="1">
      <c r="A50" s="123" t="s">
        <v>65</v>
      </c>
      <c r="B50" s="694" t="s">
        <v>277</v>
      </c>
      <c r="C50" s="695"/>
      <c r="D50" s="696"/>
      <c r="E50" s="165" t="s">
        <v>33</v>
      </c>
      <c r="F50" s="165" t="s">
        <v>435</v>
      </c>
      <c r="G50" s="166" t="s">
        <v>436</v>
      </c>
      <c r="H50" s="167" t="s">
        <v>437</v>
      </c>
      <c r="I50" s="167" t="s">
        <v>438</v>
      </c>
      <c r="J50" s="166" t="s">
        <v>437</v>
      </c>
      <c r="K50" s="98" t="s">
        <v>436</v>
      </c>
      <c r="L50" s="99" t="s">
        <v>437</v>
      </c>
      <c r="M50" s="100" t="s">
        <v>438</v>
      </c>
      <c r="N50" s="47"/>
    </row>
    <row r="51" spans="1:14" ht="34.15" customHeight="1" thickBot="1">
      <c r="A51" s="37" t="s">
        <v>64</v>
      </c>
      <c r="B51" s="688" t="s">
        <v>277</v>
      </c>
      <c r="C51" s="689"/>
      <c r="D51" s="690"/>
      <c r="E51" s="155" t="s">
        <v>34</v>
      </c>
      <c r="F51" s="155" t="s">
        <v>439</v>
      </c>
      <c r="G51" s="65" t="s">
        <v>440</v>
      </c>
      <c r="H51" s="156" t="s">
        <v>441</v>
      </c>
      <c r="I51" s="156" t="s">
        <v>442</v>
      </c>
      <c r="J51" s="65" t="s">
        <v>443</v>
      </c>
      <c r="K51" s="168"/>
      <c r="L51" s="156"/>
      <c r="M51" s="51"/>
      <c r="N51" s="37"/>
    </row>
    <row r="52" spans="1:14" ht="34.15" customHeight="1" thickBot="1">
      <c r="A52" s="37" t="s">
        <v>63</v>
      </c>
      <c r="B52" s="688" t="s">
        <v>277</v>
      </c>
      <c r="C52" s="689"/>
      <c r="D52" s="690"/>
      <c r="E52" s="155" t="s">
        <v>849</v>
      </c>
      <c r="F52" s="155" t="s">
        <v>439</v>
      </c>
      <c r="G52" s="65" t="s">
        <v>440</v>
      </c>
      <c r="H52" s="156" t="s">
        <v>441</v>
      </c>
      <c r="I52" s="156" t="s">
        <v>442</v>
      </c>
      <c r="J52" s="65" t="s">
        <v>443</v>
      </c>
      <c r="K52" s="168"/>
      <c r="L52" s="156"/>
      <c r="M52" s="51"/>
      <c r="N52" s="37" t="s">
        <v>847</v>
      </c>
    </row>
    <row r="53" spans="1:14" ht="34.15" customHeight="1" thickBot="1">
      <c r="A53" s="37" t="s">
        <v>62</v>
      </c>
      <c r="B53" s="688" t="s">
        <v>277</v>
      </c>
      <c r="C53" s="689"/>
      <c r="D53" s="690"/>
      <c r="E53" s="155" t="s">
        <v>936</v>
      </c>
      <c r="F53" s="155" t="s">
        <v>439</v>
      </c>
      <c r="G53" s="65" t="s">
        <v>440</v>
      </c>
      <c r="H53" s="156" t="s">
        <v>441</v>
      </c>
      <c r="I53" s="156" t="s">
        <v>442</v>
      </c>
      <c r="J53" s="65" t="s">
        <v>443</v>
      </c>
      <c r="K53" s="168"/>
      <c r="L53" s="156"/>
      <c r="M53" s="51"/>
      <c r="N53" s="37" t="s">
        <v>908</v>
      </c>
    </row>
    <row r="84" spans="15:15" ht="34.15" customHeight="1">
      <c r="O84" s="34" t="s">
        <v>534</v>
      </c>
    </row>
  </sheetData>
  <mergeCells count="40">
    <mergeCell ref="N4:N6"/>
    <mergeCell ref="B38:D38"/>
    <mergeCell ref="I17:I18"/>
    <mergeCell ref="J17:J18"/>
    <mergeCell ref="E4:E6"/>
    <mergeCell ref="F4:F6"/>
    <mergeCell ref="B5:D5"/>
    <mergeCell ref="H11:H12"/>
    <mergeCell ref="I11:I12"/>
    <mergeCell ref="J11:J12"/>
    <mergeCell ref="N11:N12"/>
    <mergeCell ref="N17:N18"/>
    <mergeCell ref="H17:H18"/>
    <mergeCell ref="G4:G6"/>
    <mergeCell ref="H4:H6"/>
    <mergeCell ref="I4:I6"/>
    <mergeCell ref="G17:G18"/>
    <mergeCell ref="B52:D52"/>
    <mergeCell ref="J4:J6"/>
    <mergeCell ref="G11:G12"/>
    <mergeCell ref="A21:A25"/>
    <mergeCell ref="B20:D20"/>
    <mergeCell ref="B12:D12"/>
    <mergeCell ref="A17:A18"/>
    <mergeCell ref="B19:D19"/>
    <mergeCell ref="B53:D53"/>
    <mergeCell ref="A39:A43"/>
    <mergeCell ref="B50:D50"/>
    <mergeCell ref="B51:D51"/>
    <mergeCell ref="A26:A33"/>
    <mergeCell ref="A34:A37"/>
    <mergeCell ref="A44:A47"/>
    <mergeCell ref="A2:A3"/>
    <mergeCell ref="B17:D18"/>
    <mergeCell ref="E17:E18"/>
    <mergeCell ref="F17:F18"/>
    <mergeCell ref="A13:A16"/>
    <mergeCell ref="A7:A11"/>
    <mergeCell ref="E11:E12"/>
    <mergeCell ref="F11:F12"/>
  </mergeCells>
  <phoneticPr fontId="5" type="noConversion"/>
  <pageMargins left="0.17" right="0.17" top="0.15748031496062992" bottom="0.22" header="0.15748031496062992" footer="0.15748031496062992"/>
  <pageSetup paperSize="9" scale="3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98"/>
  <sheetViews>
    <sheetView view="pageBreakPreview" zoomScale="50" zoomScaleNormal="50" zoomScaleSheetLayoutView="50" workbookViewId="0">
      <selection activeCell="E52" sqref="E52"/>
    </sheetView>
  </sheetViews>
  <sheetFormatPr defaultRowHeight="27"/>
  <cols>
    <col min="1" max="1" width="10.375" style="430" customWidth="1"/>
    <col min="2" max="2" width="14" style="430" customWidth="1"/>
    <col min="3" max="3" width="16.75" style="430" customWidth="1"/>
    <col min="4" max="4" width="13.875" style="430" customWidth="1"/>
    <col min="5" max="5" width="69.75" style="543" customWidth="1"/>
    <col min="6" max="6" width="25.5" style="34" customWidth="1"/>
    <col min="7" max="7" width="21.375" style="430" customWidth="1"/>
    <col min="8" max="8" width="16.25" style="170" customWidth="1"/>
    <col min="9" max="9" width="33.75" style="170" customWidth="1"/>
    <col min="10" max="10" width="15.5" style="170" hidden="1" customWidth="1"/>
    <col min="11" max="12" width="24.375" style="170" hidden="1" customWidth="1"/>
    <col min="13" max="13" width="43.375" style="170" hidden="1" customWidth="1"/>
    <col min="14" max="14" width="32.625" style="430" customWidth="1"/>
    <col min="15" max="15" width="28.75" style="170" customWidth="1"/>
    <col min="16" max="16" width="82.625" style="170" customWidth="1"/>
    <col min="17" max="17" width="15.625" style="170" customWidth="1"/>
    <col min="18" max="255" width="8.875" style="170"/>
    <col min="256" max="256" width="6.625" style="170" customWidth="1"/>
    <col min="257" max="257" width="7.875" style="170" customWidth="1"/>
    <col min="258" max="258" width="8.375" style="170" customWidth="1"/>
    <col min="259" max="259" width="8.125" style="170" customWidth="1"/>
    <col min="260" max="260" width="40.375" style="170" customWidth="1"/>
    <col min="261" max="261" width="16.25" style="170" customWidth="1"/>
    <col min="262" max="262" width="14.875" style="170" customWidth="1"/>
    <col min="263" max="263" width="8.625" style="170" customWidth="1"/>
    <col min="264" max="264" width="15.875" style="170" customWidth="1"/>
    <col min="265" max="265" width="13.5" style="170" customWidth="1"/>
    <col min="266" max="268" width="0" style="170" hidden="1" customWidth="1"/>
    <col min="269" max="269" width="24.625" style="170" customWidth="1"/>
    <col min="270" max="270" width="15.625" style="170" customWidth="1"/>
    <col min="271" max="272" width="10.625" style="170" customWidth="1"/>
    <col min="273" max="273" width="15.625" style="170" customWidth="1"/>
    <col min="274" max="511" width="8.875" style="170"/>
    <col min="512" max="512" width="6.625" style="170" customWidth="1"/>
    <col min="513" max="513" width="7.875" style="170" customWidth="1"/>
    <col min="514" max="514" width="8.375" style="170" customWidth="1"/>
    <col min="515" max="515" width="8.125" style="170" customWidth="1"/>
    <col min="516" max="516" width="40.375" style="170" customWidth="1"/>
    <col min="517" max="517" width="16.25" style="170" customWidth="1"/>
    <col min="518" max="518" width="14.875" style="170" customWidth="1"/>
    <col min="519" max="519" width="8.625" style="170" customWidth="1"/>
    <col min="520" max="520" width="15.875" style="170" customWidth="1"/>
    <col min="521" max="521" width="13.5" style="170" customWidth="1"/>
    <col min="522" max="524" width="0" style="170" hidden="1" customWidth="1"/>
    <col min="525" max="525" width="24.625" style="170" customWidth="1"/>
    <col min="526" max="526" width="15.625" style="170" customWidth="1"/>
    <col min="527" max="528" width="10.625" style="170" customWidth="1"/>
    <col min="529" max="529" width="15.625" style="170" customWidth="1"/>
    <col min="530" max="767" width="8.875" style="170"/>
    <col min="768" max="768" width="6.625" style="170" customWidth="1"/>
    <col min="769" max="769" width="7.875" style="170" customWidth="1"/>
    <col min="770" max="770" width="8.375" style="170" customWidth="1"/>
    <col min="771" max="771" width="8.125" style="170" customWidth="1"/>
    <col min="772" max="772" width="40.375" style="170" customWidth="1"/>
    <col min="773" max="773" width="16.25" style="170" customWidth="1"/>
    <col min="774" max="774" width="14.875" style="170" customWidth="1"/>
    <col min="775" max="775" width="8.625" style="170" customWidth="1"/>
    <col min="776" max="776" width="15.875" style="170" customWidth="1"/>
    <col min="777" max="777" width="13.5" style="170" customWidth="1"/>
    <col min="778" max="780" width="0" style="170" hidden="1" customWidth="1"/>
    <col min="781" max="781" width="24.625" style="170" customWidth="1"/>
    <col min="782" max="782" width="15.625" style="170" customWidth="1"/>
    <col min="783" max="784" width="10.625" style="170" customWidth="1"/>
    <col min="785" max="785" width="15.625" style="170" customWidth="1"/>
    <col min="786" max="1023" width="8.875" style="170"/>
    <col min="1024" max="1024" width="6.625" style="170" customWidth="1"/>
    <col min="1025" max="1025" width="7.875" style="170" customWidth="1"/>
    <col min="1026" max="1026" width="8.375" style="170" customWidth="1"/>
    <col min="1027" max="1027" width="8.125" style="170" customWidth="1"/>
    <col min="1028" max="1028" width="40.375" style="170" customWidth="1"/>
    <col min="1029" max="1029" width="16.25" style="170" customWidth="1"/>
    <col min="1030" max="1030" width="14.875" style="170" customWidth="1"/>
    <col min="1031" max="1031" width="8.625" style="170" customWidth="1"/>
    <col min="1032" max="1032" width="15.875" style="170" customWidth="1"/>
    <col min="1033" max="1033" width="13.5" style="170" customWidth="1"/>
    <col min="1034" max="1036" width="0" style="170" hidden="1" customWidth="1"/>
    <col min="1037" max="1037" width="24.625" style="170" customWidth="1"/>
    <col min="1038" max="1038" width="15.625" style="170" customWidth="1"/>
    <col min="1039" max="1040" width="10.625" style="170" customWidth="1"/>
    <col min="1041" max="1041" width="15.625" style="170" customWidth="1"/>
    <col min="1042" max="1279" width="8.875" style="170"/>
    <col min="1280" max="1280" width="6.625" style="170" customWidth="1"/>
    <col min="1281" max="1281" width="7.875" style="170" customWidth="1"/>
    <col min="1282" max="1282" width="8.375" style="170" customWidth="1"/>
    <col min="1283" max="1283" width="8.125" style="170" customWidth="1"/>
    <col min="1284" max="1284" width="40.375" style="170" customWidth="1"/>
    <col min="1285" max="1285" width="16.25" style="170" customWidth="1"/>
    <col min="1286" max="1286" width="14.875" style="170" customWidth="1"/>
    <col min="1287" max="1287" width="8.625" style="170" customWidth="1"/>
    <col min="1288" max="1288" width="15.875" style="170" customWidth="1"/>
    <col min="1289" max="1289" width="13.5" style="170" customWidth="1"/>
    <col min="1290" max="1292" width="0" style="170" hidden="1" customWidth="1"/>
    <col min="1293" max="1293" width="24.625" style="170" customWidth="1"/>
    <col min="1294" max="1294" width="15.625" style="170" customWidth="1"/>
    <col min="1295" max="1296" width="10.625" style="170" customWidth="1"/>
    <col min="1297" max="1297" width="15.625" style="170" customWidth="1"/>
    <col min="1298" max="1535" width="8.875" style="170"/>
    <col min="1536" max="1536" width="6.625" style="170" customWidth="1"/>
    <col min="1537" max="1537" width="7.875" style="170" customWidth="1"/>
    <col min="1538" max="1538" width="8.375" style="170" customWidth="1"/>
    <col min="1539" max="1539" width="8.125" style="170" customWidth="1"/>
    <col min="1540" max="1540" width="40.375" style="170" customWidth="1"/>
    <col min="1541" max="1541" width="16.25" style="170" customWidth="1"/>
    <col min="1542" max="1542" width="14.875" style="170" customWidth="1"/>
    <col min="1543" max="1543" width="8.625" style="170" customWidth="1"/>
    <col min="1544" max="1544" width="15.875" style="170" customWidth="1"/>
    <col min="1545" max="1545" width="13.5" style="170" customWidth="1"/>
    <col min="1546" max="1548" width="0" style="170" hidden="1" customWidth="1"/>
    <col min="1549" max="1549" width="24.625" style="170" customWidth="1"/>
    <col min="1550" max="1550" width="15.625" style="170" customWidth="1"/>
    <col min="1551" max="1552" width="10.625" style="170" customWidth="1"/>
    <col min="1553" max="1553" width="15.625" style="170" customWidth="1"/>
    <col min="1554" max="1791" width="8.875" style="170"/>
    <col min="1792" max="1792" width="6.625" style="170" customWidth="1"/>
    <col min="1793" max="1793" width="7.875" style="170" customWidth="1"/>
    <col min="1794" max="1794" width="8.375" style="170" customWidth="1"/>
    <col min="1795" max="1795" width="8.125" style="170" customWidth="1"/>
    <col min="1796" max="1796" width="40.375" style="170" customWidth="1"/>
    <col min="1797" max="1797" width="16.25" style="170" customWidth="1"/>
    <col min="1798" max="1798" width="14.875" style="170" customWidth="1"/>
    <col min="1799" max="1799" width="8.625" style="170" customWidth="1"/>
    <col min="1800" max="1800" width="15.875" style="170" customWidth="1"/>
    <col min="1801" max="1801" width="13.5" style="170" customWidth="1"/>
    <col min="1802" max="1804" width="0" style="170" hidden="1" customWidth="1"/>
    <col min="1805" max="1805" width="24.625" style="170" customWidth="1"/>
    <col min="1806" max="1806" width="15.625" style="170" customWidth="1"/>
    <col min="1807" max="1808" width="10.625" style="170" customWidth="1"/>
    <col min="1809" max="1809" width="15.625" style="170" customWidth="1"/>
    <col min="1810" max="2047" width="8.875" style="170"/>
    <col min="2048" max="2048" width="6.625" style="170" customWidth="1"/>
    <col min="2049" max="2049" width="7.875" style="170" customWidth="1"/>
    <col min="2050" max="2050" width="8.375" style="170" customWidth="1"/>
    <col min="2051" max="2051" width="8.125" style="170" customWidth="1"/>
    <col min="2052" max="2052" width="40.375" style="170" customWidth="1"/>
    <col min="2053" max="2053" width="16.25" style="170" customWidth="1"/>
    <col min="2054" max="2054" width="14.875" style="170" customWidth="1"/>
    <col min="2055" max="2055" width="8.625" style="170" customWidth="1"/>
    <col min="2056" max="2056" width="15.875" style="170" customWidth="1"/>
    <col min="2057" max="2057" width="13.5" style="170" customWidth="1"/>
    <col min="2058" max="2060" width="0" style="170" hidden="1" customWidth="1"/>
    <col min="2061" max="2061" width="24.625" style="170" customWidth="1"/>
    <col min="2062" max="2062" width="15.625" style="170" customWidth="1"/>
    <col min="2063" max="2064" width="10.625" style="170" customWidth="1"/>
    <col min="2065" max="2065" width="15.625" style="170" customWidth="1"/>
    <col min="2066" max="2303" width="8.875" style="170"/>
    <col min="2304" max="2304" width="6.625" style="170" customWidth="1"/>
    <col min="2305" max="2305" width="7.875" style="170" customWidth="1"/>
    <col min="2306" max="2306" width="8.375" style="170" customWidth="1"/>
    <col min="2307" max="2307" width="8.125" style="170" customWidth="1"/>
    <col min="2308" max="2308" width="40.375" style="170" customWidth="1"/>
    <col min="2309" max="2309" width="16.25" style="170" customWidth="1"/>
    <col min="2310" max="2310" width="14.875" style="170" customWidth="1"/>
    <col min="2311" max="2311" width="8.625" style="170" customWidth="1"/>
    <col min="2312" max="2312" width="15.875" style="170" customWidth="1"/>
    <col min="2313" max="2313" width="13.5" style="170" customWidth="1"/>
    <col min="2314" max="2316" width="0" style="170" hidden="1" customWidth="1"/>
    <col min="2317" max="2317" width="24.625" style="170" customWidth="1"/>
    <col min="2318" max="2318" width="15.625" style="170" customWidth="1"/>
    <col min="2319" max="2320" width="10.625" style="170" customWidth="1"/>
    <col min="2321" max="2321" width="15.625" style="170" customWidth="1"/>
    <col min="2322" max="2559" width="8.875" style="170"/>
    <col min="2560" max="2560" width="6.625" style="170" customWidth="1"/>
    <col min="2561" max="2561" width="7.875" style="170" customWidth="1"/>
    <col min="2562" max="2562" width="8.375" style="170" customWidth="1"/>
    <col min="2563" max="2563" width="8.125" style="170" customWidth="1"/>
    <col min="2564" max="2564" width="40.375" style="170" customWidth="1"/>
    <col min="2565" max="2565" width="16.25" style="170" customWidth="1"/>
    <col min="2566" max="2566" width="14.875" style="170" customWidth="1"/>
    <col min="2567" max="2567" width="8.625" style="170" customWidth="1"/>
    <col min="2568" max="2568" width="15.875" style="170" customWidth="1"/>
    <col min="2569" max="2569" width="13.5" style="170" customWidth="1"/>
    <col min="2570" max="2572" width="0" style="170" hidden="1" customWidth="1"/>
    <col min="2573" max="2573" width="24.625" style="170" customWidth="1"/>
    <col min="2574" max="2574" width="15.625" style="170" customWidth="1"/>
    <col min="2575" max="2576" width="10.625" style="170" customWidth="1"/>
    <col min="2577" max="2577" width="15.625" style="170" customWidth="1"/>
    <col min="2578" max="2815" width="8.875" style="170"/>
    <col min="2816" max="2816" width="6.625" style="170" customWidth="1"/>
    <col min="2817" max="2817" width="7.875" style="170" customWidth="1"/>
    <col min="2818" max="2818" width="8.375" style="170" customWidth="1"/>
    <col min="2819" max="2819" width="8.125" style="170" customWidth="1"/>
    <col min="2820" max="2820" width="40.375" style="170" customWidth="1"/>
    <col min="2821" max="2821" width="16.25" style="170" customWidth="1"/>
    <col min="2822" max="2822" width="14.875" style="170" customWidth="1"/>
    <col min="2823" max="2823" width="8.625" style="170" customWidth="1"/>
    <col min="2824" max="2824" width="15.875" style="170" customWidth="1"/>
    <col min="2825" max="2825" width="13.5" style="170" customWidth="1"/>
    <col min="2826" max="2828" width="0" style="170" hidden="1" customWidth="1"/>
    <col min="2829" max="2829" width="24.625" style="170" customWidth="1"/>
    <col min="2830" max="2830" width="15.625" style="170" customWidth="1"/>
    <col min="2831" max="2832" width="10.625" style="170" customWidth="1"/>
    <col min="2833" max="2833" width="15.625" style="170" customWidth="1"/>
    <col min="2834" max="3071" width="8.875" style="170"/>
    <col min="3072" max="3072" width="6.625" style="170" customWidth="1"/>
    <col min="3073" max="3073" width="7.875" style="170" customWidth="1"/>
    <col min="3074" max="3074" width="8.375" style="170" customWidth="1"/>
    <col min="3075" max="3075" width="8.125" style="170" customWidth="1"/>
    <col min="3076" max="3076" width="40.375" style="170" customWidth="1"/>
    <col min="3077" max="3077" width="16.25" style="170" customWidth="1"/>
    <col min="3078" max="3078" width="14.875" style="170" customWidth="1"/>
    <col min="3079" max="3079" width="8.625" style="170" customWidth="1"/>
    <col min="3080" max="3080" width="15.875" style="170" customWidth="1"/>
    <col min="3081" max="3081" width="13.5" style="170" customWidth="1"/>
    <col min="3082" max="3084" width="0" style="170" hidden="1" customWidth="1"/>
    <col min="3085" max="3085" width="24.625" style="170" customWidth="1"/>
    <col min="3086" max="3086" width="15.625" style="170" customWidth="1"/>
    <col min="3087" max="3088" width="10.625" style="170" customWidth="1"/>
    <col min="3089" max="3089" width="15.625" style="170" customWidth="1"/>
    <col min="3090" max="3327" width="8.875" style="170"/>
    <col min="3328" max="3328" width="6.625" style="170" customWidth="1"/>
    <col min="3329" max="3329" width="7.875" style="170" customWidth="1"/>
    <col min="3330" max="3330" width="8.375" style="170" customWidth="1"/>
    <col min="3331" max="3331" width="8.125" style="170" customWidth="1"/>
    <col min="3332" max="3332" width="40.375" style="170" customWidth="1"/>
    <col min="3333" max="3333" width="16.25" style="170" customWidth="1"/>
    <col min="3334" max="3334" width="14.875" style="170" customWidth="1"/>
    <col min="3335" max="3335" width="8.625" style="170" customWidth="1"/>
    <col min="3336" max="3336" width="15.875" style="170" customWidth="1"/>
    <col min="3337" max="3337" width="13.5" style="170" customWidth="1"/>
    <col min="3338" max="3340" width="0" style="170" hidden="1" customWidth="1"/>
    <col min="3341" max="3341" width="24.625" style="170" customWidth="1"/>
    <col min="3342" max="3342" width="15.625" style="170" customWidth="1"/>
    <col min="3343" max="3344" width="10.625" style="170" customWidth="1"/>
    <col min="3345" max="3345" width="15.625" style="170" customWidth="1"/>
    <col min="3346" max="3583" width="8.875" style="170"/>
    <col min="3584" max="3584" width="6.625" style="170" customWidth="1"/>
    <col min="3585" max="3585" width="7.875" style="170" customWidth="1"/>
    <col min="3586" max="3586" width="8.375" style="170" customWidth="1"/>
    <col min="3587" max="3587" width="8.125" style="170" customWidth="1"/>
    <col min="3588" max="3588" width="40.375" style="170" customWidth="1"/>
    <col min="3589" max="3589" width="16.25" style="170" customWidth="1"/>
    <col min="3590" max="3590" width="14.875" style="170" customWidth="1"/>
    <col min="3591" max="3591" width="8.625" style="170" customWidth="1"/>
    <col min="3592" max="3592" width="15.875" style="170" customWidth="1"/>
    <col min="3593" max="3593" width="13.5" style="170" customWidth="1"/>
    <col min="3594" max="3596" width="0" style="170" hidden="1" customWidth="1"/>
    <col min="3597" max="3597" width="24.625" style="170" customWidth="1"/>
    <col min="3598" max="3598" width="15.625" style="170" customWidth="1"/>
    <col min="3599" max="3600" width="10.625" style="170" customWidth="1"/>
    <col min="3601" max="3601" width="15.625" style="170" customWidth="1"/>
    <col min="3602" max="3839" width="8.875" style="170"/>
    <col min="3840" max="3840" width="6.625" style="170" customWidth="1"/>
    <col min="3841" max="3841" width="7.875" style="170" customWidth="1"/>
    <col min="3842" max="3842" width="8.375" style="170" customWidth="1"/>
    <col min="3843" max="3843" width="8.125" style="170" customWidth="1"/>
    <col min="3844" max="3844" width="40.375" style="170" customWidth="1"/>
    <col min="3845" max="3845" width="16.25" style="170" customWidth="1"/>
    <col min="3846" max="3846" width="14.875" style="170" customWidth="1"/>
    <col min="3847" max="3847" width="8.625" style="170" customWidth="1"/>
    <col min="3848" max="3848" width="15.875" style="170" customWidth="1"/>
    <col min="3849" max="3849" width="13.5" style="170" customWidth="1"/>
    <col min="3850" max="3852" width="0" style="170" hidden="1" customWidth="1"/>
    <col min="3853" max="3853" width="24.625" style="170" customWidth="1"/>
    <col min="3854" max="3854" width="15.625" style="170" customWidth="1"/>
    <col min="3855" max="3856" width="10.625" style="170" customWidth="1"/>
    <col min="3857" max="3857" width="15.625" style="170" customWidth="1"/>
    <col min="3858" max="4095" width="8.875" style="170"/>
    <col min="4096" max="4096" width="6.625" style="170" customWidth="1"/>
    <col min="4097" max="4097" width="7.875" style="170" customWidth="1"/>
    <col min="4098" max="4098" width="8.375" style="170" customWidth="1"/>
    <col min="4099" max="4099" width="8.125" style="170" customWidth="1"/>
    <col min="4100" max="4100" width="40.375" style="170" customWidth="1"/>
    <col min="4101" max="4101" width="16.25" style="170" customWidth="1"/>
    <col min="4102" max="4102" width="14.875" style="170" customWidth="1"/>
    <col min="4103" max="4103" width="8.625" style="170" customWidth="1"/>
    <col min="4104" max="4104" width="15.875" style="170" customWidth="1"/>
    <col min="4105" max="4105" width="13.5" style="170" customWidth="1"/>
    <col min="4106" max="4108" width="0" style="170" hidden="1" customWidth="1"/>
    <col min="4109" max="4109" width="24.625" style="170" customWidth="1"/>
    <col min="4110" max="4110" width="15.625" style="170" customWidth="1"/>
    <col min="4111" max="4112" width="10.625" style="170" customWidth="1"/>
    <col min="4113" max="4113" width="15.625" style="170" customWidth="1"/>
    <col min="4114" max="4351" width="8.875" style="170"/>
    <col min="4352" max="4352" width="6.625" style="170" customWidth="1"/>
    <col min="4353" max="4353" width="7.875" style="170" customWidth="1"/>
    <col min="4354" max="4354" width="8.375" style="170" customWidth="1"/>
    <col min="4355" max="4355" width="8.125" style="170" customWidth="1"/>
    <col min="4356" max="4356" width="40.375" style="170" customWidth="1"/>
    <col min="4357" max="4357" width="16.25" style="170" customWidth="1"/>
    <col min="4358" max="4358" width="14.875" style="170" customWidth="1"/>
    <col min="4359" max="4359" width="8.625" style="170" customWidth="1"/>
    <col min="4360" max="4360" width="15.875" style="170" customWidth="1"/>
    <col min="4361" max="4361" width="13.5" style="170" customWidth="1"/>
    <col min="4362" max="4364" width="0" style="170" hidden="1" customWidth="1"/>
    <col min="4365" max="4365" width="24.625" style="170" customWidth="1"/>
    <col min="4366" max="4366" width="15.625" style="170" customWidth="1"/>
    <col min="4367" max="4368" width="10.625" style="170" customWidth="1"/>
    <col min="4369" max="4369" width="15.625" style="170" customWidth="1"/>
    <col min="4370" max="4607" width="8.875" style="170"/>
    <col min="4608" max="4608" width="6.625" style="170" customWidth="1"/>
    <col min="4609" max="4609" width="7.875" style="170" customWidth="1"/>
    <col min="4610" max="4610" width="8.375" style="170" customWidth="1"/>
    <col min="4611" max="4611" width="8.125" style="170" customWidth="1"/>
    <col min="4612" max="4612" width="40.375" style="170" customWidth="1"/>
    <col min="4613" max="4613" width="16.25" style="170" customWidth="1"/>
    <col min="4614" max="4614" width="14.875" style="170" customWidth="1"/>
    <col min="4615" max="4615" width="8.625" style="170" customWidth="1"/>
    <col min="4616" max="4616" width="15.875" style="170" customWidth="1"/>
    <col min="4617" max="4617" width="13.5" style="170" customWidth="1"/>
    <col min="4618" max="4620" width="0" style="170" hidden="1" customWidth="1"/>
    <col min="4621" max="4621" width="24.625" style="170" customWidth="1"/>
    <col min="4622" max="4622" width="15.625" style="170" customWidth="1"/>
    <col min="4623" max="4624" width="10.625" style="170" customWidth="1"/>
    <col min="4625" max="4625" width="15.625" style="170" customWidth="1"/>
    <col min="4626" max="4863" width="8.875" style="170"/>
    <col min="4864" max="4864" width="6.625" style="170" customWidth="1"/>
    <col min="4865" max="4865" width="7.875" style="170" customWidth="1"/>
    <col min="4866" max="4866" width="8.375" style="170" customWidth="1"/>
    <col min="4867" max="4867" width="8.125" style="170" customWidth="1"/>
    <col min="4868" max="4868" width="40.375" style="170" customWidth="1"/>
    <col min="4869" max="4869" width="16.25" style="170" customWidth="1"/>
    <col min="4870" max="4870" width="14.875" style="170" customWidth="1"/>
    <col min="4871" max="4871" width="8.625" style="170" customWidth="1"/>
    <col min="4872" max="4872" width="15.875" style="170" customWidth="1"/>
    <col min="4873" max="4873" width="13.5" style="170" customWidth="1"/>
    <col min="4874" max="4876" width="0" style="170" hidden="1" customWidth="1"/>
    <col min="4877" max="4877" width="24.625" style="170" customWidth="1"/>
    <col min="4878" max="4878" width="15.625" style="170" customWidth="1"/>
    <col min="4879" max="4880" width="10.625" style="170" customWidth="1"/>
    <col min="4881" max="4881" width="15.625" style="170" customWidth="1"/>
    <col min="4882" max="5119" width="8.875" style="170"/>
    <col min="5120" max="5120" width="6.625" style="170" customWidth="1"/>
    <col min="5121" max="5121" width="7.875" style="170" customWidth="1"/>
    <col min="5122" max="5122" width="8.375" style="170" customWidth="1"/>
    <col min="5123" max="5123" width="8.125" style="170" customWidth="1"/>
    <col min="5124" max="5124" width="40.375" style="170" customWidth="1"/>
    <col min="5125" max="5125" width="16.25" style="170" customWidth="1"/>
    <col min="5126" max="5126" width="14.875" style="170" customWidth="1"/>
    <col min="5127" max="5127" width="8.625" style="170" customWidth="1"/>
    <col min="5128" max="5128" width="15.875" style="170" customWidth="1"/>
    <col min="5129" max="5129" width="13.5" style="170" customWidth="1"/>
    <col min="5130" max="5132" width="0" style="170" hidden="1" customWidth="1"/>
    <col min="5133" max="5133" width="24.625" style="170" customWidth="1"/>
    <col min="5134" max="5134" width="15.625" style="170" customWidth="1"/>
    <col min="5135" max="5136" width="10.625" style="170" customWidth="1"/>
    <col min="5137" max="5137" width="15.625" style="170" customWidth="1"/>
    <col min="5138" max="5375" width="8.875" style="170"/>
    <col min="5376" max="5376" width="6.625" style="170" customWidth="1"/>
    <col min="5377" max="5377" width="7.875" style="170" customWidth="1"/>
    <col min="5378" max="5378" width="8.375" style="170" customWidth="1"/>
    <col min="5379" max="5379" width="8.125" style="170" customWidth="1"/>
    <col min="5380" max="5380" width="40.375" style="170" customWidth="1"/>
    <col min="5381" max="5381" width="16.25" style="170" customWidth="1"/>
    <col min="5382" max="5382" width="14.875" style="170" customWidth="1"/>
    <col min="5383" max="5383" width="8.625" style="170" customWidth="1"/>
    <col min="5384" max="5384" width="15.875" style="170" customWidth="1"/>
    <col min="5385" max="5385" width="13.5" style="170" customWidth="1"/>
    <col min="5386" max="5388" width="0" style="170" hidden="1" customWidth="1"/>
    <col min="5389" max="5389" width="24.625" style="170" customWidth="1"/>
    <col min="5390" max="5390" width="15.625" style="170" customWidth="1"/>
    <col min="5391" max="5392" width="10.625" style="170" customWidth="1"/>
    <col min="5393" max="5393" width="15.625" style="170" customWidth="1"/>
    <col min="5394" max="5631" width="8.875" style="170"/>
    <col min="5632" max="5632" width="6.625" style="170" customWidth="1"/>
    <col min="5633" max="5633" width="7.875" style="170" customWidth="1"/>
    <col min="5634" max="5634" width="8.375" style="170" customWidth="1"/>
    <col min="5635" max="5635" width="8.125" style="170" customWidth="1"/>
    <col min="5636" max="5636" width="40.375" style="170" customWidth="1"/>
    <col min="5637" max="5637" width="16.25" style="170" customWidth="1"/>
    <col min="5638" max="5638" width="14.875" style="170" customWidth="1"/>
    <col min="5639" max="5639" width="8.625" style="170" customWidth="1"/>
    <col min="5640" max="5640" width="15.875" style="170" customWidth="1"/>
    <col min="5641" max="5641" width="13.5" style="170" customWidth="1"/>
    <col min="5642" max="5644" width="0" style="170" hidden="1" customWidth="1"/>
    <col min="5645" max="5645" width="24.625" style="170" customWidth="1"/>
    <col min="5646" max="5646" width="15.625" style="170" customWidth="1"/>
    <col min="5647" max="5648" width="10.625" style="170" customWidth="1"/>
    <col min="5649" max="5649" width="15.625" style="170" customWidth="1"/>
    <col min="5650" max="5887" width="8.875" style="170"/>
    <col min="5888" max="5888" width="6.625" style="170" customWidth="1"/>
    <col min="5889" max="5889" width="7.875" style="170" customWidth="1"/>
    <col min="5890" max="5890" width="8.375" style="170" customWidth="1"/>
    <col min="5891" max="5891" width="8.125" style="170" customWidth="1"/>
    <col min="5892" max="5892" width="40.375" style="170" customWidth="1"/>
    <col min="5893" max="5893" width="16.25" style="170" customWidth="1"/>
    <col min="5894" max="5894" width="14.875" style="170" customWidth="1"/>
    <col min="5895" max="5895" width="8.625" style="170" customWidth="1"/>
    <col min="5896" max="5896" width="15.875" style="170" customWidth="1"/>
    <col min="5897" max="5897" width="13.5" style="170" customWidth="1"/>
    <col min="5898" max="5900" width="0" style="170" hidden="1" customWidth="1"/>
    <col min="5901" max="5901" width="24.625" style="170" customWidth="1"/>
    <col min="5902" max="5902" width="15.625" style="170" customWidth="1"/>
    <col min="5903" max="5904" width="10.625" style="170" customWidth="1"/>
    <col min="5905" max="5905" width="15.625" style="170" customWidth="1"/>
    <col min="5906" max="6143" width="8.875" style="170"/>
    <col min="6144" max="6144" width="6.625" style="170" customWidth="1"/>
    <col min="6145" max="6145" width="7.875" style="170" customWidth="1"/>
    <col min="6146" max="6146" width="8.375" style="170" customWidth="1"/>
    <col min="6147" max="6147" width="8.125" style="170" customWidth="1"/>
    <col min="6148" max="6148" width="40.375" style="170" customWidth="1"/>
    <col min="6149" max="6149" width="16.25" style="170" customWidth="1"/>
    <col min="6150" max="6150" width="14.875" style="170" customWidth="1"/>
    <col min="6151" max="6151" width="8.625" style="170" customWidth="1"/>
    <col min="6152" max="6152" width="15.875" style="170" customWidth="1"/>
    <col min="6153" max="6153" width="13.5" style="170" customWidth="1"/>
    <col min="6154" max="6156" width="0" style="170" hidden="1" customWidth="1"/>
    <col min="6157" max="6157" width="24.625" style="170" customWidth="1"/>
    <col min="6158" max="6158" width="15.625" style="170" customWidth="1"/>
    <col min="6159" max="6160" width="10.625" style="170" customWidth="1"/>
    <col min="6161" max="6161" width="15.625" style="170" customWidth="1"/>
    <col min="6162" max="6399" width="8.875" style="170"/>
    <col min="6400" max="6400" width="6.625" style="170" customWidth="1"/>
    <col min="6401" max="6401" width="7.875" style="170" customWidth="1"/>
    <col min="6402" max="6402" width="8.375" style="170" customWidth="1"/>
    <col min="6403" max="6403" width="8.125" style="170" customWidth="1"/>
    <col min="6404" max="6404" width="40.375" style="170" customWidth="1"/>
    <col min="6405" max="6405" width="16.25" style="170" customWidth="1"/>
    <col min="6406" max="6406" width="14.875" style="170" customWidth="1"/>
    <col min="6407" max="6407" width="8.625" style="170" customWidth="1"/>
    <col min="6408" max="6408" width="15.875" style="170" customWidth="1"/>
    <col min="6409" max="6409" width="13.5" style="170" customWidth="1"/>
    <col min="6410" max="6412" width="0" style="170" hidden="1" customWidth="1"/>
    <col min="6413" max="6413" width="24.625" style="170" customWidth="1"/>
    <col min="6414" max="6414" width="15.625" style="170" customWidth="1"/>
    <col min="6415" max="6416" width="10.625" style="170" customWidth="1"/>
    <col min="6417" max="6417" width="15.625" style="170" customWidth="1"/>
    <col min="6418" max="6655" width="8.875" style="170"/>
    <col min="6656" max="6656" width="6.625" style="170" customWidth="1"/>
    <col min="6657" max="6657" width="7.875" style="170" customWidth="1"/>
    <col min="6658" max="6658" width="8.375" style="170" customWidth="1"/>
    <col min="6659" max="6659" width="8.125" style="170" customWidth="1"/>
    <col min="6660" max="6660" width="40.375" style="170" customWidth="1"/>
    <col min="6661" max="6661" width="16.25" style="170" customWidth="1"/>
    <col min="6662" max="6662" width="14.875" style="170" customWidth="1"/>
    <col min="6663" max="6663" width="8.625" style="170" customWidth="1"/>
    <col min="6664" max="6664" width="15.875" style="170" customWidth="1"/>
    <col min="6665" max="6665" width="13.5" style="170" customWidth="1"/>
    <col min="6666" max="6668" width="0" style="170" hidden="1" customWidth="1"/>
    <col min="6669" max="6669" width="24.625" style="170" customWidth="1"/>
    <col min="6670" max="6670" width="15.625" style="170" customWidth="1"/>
    <col min="6671" max="6672" width="10.625" style="170" customWidth="1"/>
    <col min="6673" max="6673" width="15.625" style="170" customWidth="1"/>
    <col min="6674" max="6911" width="8.875" style="170"/>
    <col min="6912" max="6912" width="6.625" style="170" customWidth="1"/>
    <col min="6913" max="6913" width="7.875" style="170" customWidth="1"/>
    <col min="6914" max="6914" width="8.375" style="170" customWidth="1"/>
    <col min="6915" max="6915" width="8.125" style="170" customWidth="1"/>
    <col min="6916" max="6916" width="40.375" style="170" customWidth="1"/>
    <col min="6917" max="6917" width="16.25" style="170" customWidth="1"/>
    <col min="6918" max="6918" width="14.875" style="170" customWidth="1"/>
    <col min="6919" max="6919" width="8.625" style="170" customWidth="1"/>
    <col min="6920" max="6920" width="15.875" style="170" customWidth="1"/>
    <col min="6921" max="6921" width="13.5" style="170" customWidth="1"/>
    <col min="6922" max="6924" width="0" style="170" hidden="1" customWidth="1"/>
    <col min="6925" max="6925" width="24.625" style="170" customWidth="1"/>
    <col min="6926" max="6926" width="15.625" style="170" customWidth="1"/>
    <col min="6927" max="6928" width="10.625" style="170" customWidth="1"/>
    <col min="6929" max="6929" width="15.625" style="170" customWidth="1"/>
    <col min="6930" max="7167" width="8.875" style="170"/>
    <col min="7168" max="7168" width="6.625" style="170" customWidth="1"/>
    <col min="7169" max="7169" width="7.875" style="170" customWidth="1"/>
    <col min="7170" max="7170" width="8.375" style="170" customWidth="1"/>
    <col min="7171" max="7171" width="8.125" style="170" customWidth="1"/>
    <col min="7172" max="7172" width="40.375" style="170" customWidth="1"/>
    <col min="7173" max="7173" width="16.25" style="170" customWidth="1"/>
    <col min="7174" max="7174" width="14.875" style="170" customWidth="1"/>
    <col min="7175" max="7175" width="8.625" style="170" customWidth="1"/>
    <col min="7176" max="7176" width="15.875" style="170" customWidth="1"/>
    <col min="7177" max="7177" width="13.5" style="170" customWidth="1"/>
    <col min="7178" max="7180" width="0" style="170" hidden="1" customWidth="1"/>
    <col min="7181" max="7181" width="24.625" style="170" customWidth="1"/>
    <col min="7182" max="7182" width="15.625" style="170" customWidth="1"/>
    <col min="7183" max="7184" width="10.625" style="170" customWidth="1"/>
    <col min="7185" max="7185" width="15.625" style="170" customWidth="1"/>
    <col min="7186" max="7423" width="8.875" style="170"/>
    <col min="7424" max="7424" width="6.625" style="170" customWidth="1"/>
    <col min="7425" max="7425" width="7.875" style="170" customWidth="1"/>
    <col min="7426" max="7426" width="8.375" style="170" customWidth="1"/>
    <col min="7427" max="7427" width="8.125" style="170" customWidth="1"/>
    <col min="7428" max="7428" width="40.375" style="170" customWidth="1"/>
    <col min="7429" max="7429" width="16.25" style="170" customWidth="1"/>
    <col min="7430" max="7430" width="14.875" style="170" customWidth="1"/>
    <col min="7431" max="7431" width="8.625" style="170" customWidth="1"/>
    <col min="7432" max="7432" width="15.875" style="170" customWidth="1"/>
    <col min="7433" max="7433" width="13.5" style="170" customWidth="1"/>
    <col min="7434" max="7436" width="0" style="170" hidden="1" customWidth="1"/>
    <col min="7437" max="7437" width="24.625" style="170" customWidth="1"/>
    <col min="7438" max="7438" width="15.625" style="170" customWidth="1"/>
    <col min="7439" max="7440" width="10.625" style="170" customWidth="1"/>
    <col min="7441" max="7441" width="15.625" style="170" customWidth="1"/>
    <col min="7442" max="7679" width="8.875" style="170"/>
    <col min="7680" max="7680" width="6.625" style="170" customWidth="1"/>
    <col min="7681" max="7681" width="7.875" style="170" customWidth="1"/>
    <col min="7682" max="7682" width="8.375" style="170" customWidth="1"/>
    <col min="7683" max="7683" width="8.125" style="170" customWidth="1"/>
    <col min="7684" max="7684" width="40.375" style="170" customWidth="1"/>
    <col min="7685" max="7685" width="16.25" style="170" customWidth="1"/>
    <col min="7686" max="7686" width="14.875" style="170" customWidth="1"/>
    <col min="7687" max="7687" width="8.625" style="170" customWidth="1"/>
    <col min="7688" max="7688" width="15.875" style="170" customWidth="1"/>
    <col min="7689" max="7689" width="13.5" style="170" customWidth="1"/>
    <col min="7690" max="7692" width="0" style="170" hidden="1" customWidth="1"/>
    <col min="7693" max="7693" width="24.625" style="170" customWidth="1"/>
    <col min="7694" max="7694" width="15.625" style="170" customWidth="1"/>
    <col min="7695" max="7696" width="10.625" style="170" customWidth="1"/>
    <col min="7697" max="7697" width="15.625" style="170" customWidth="1"/>
    <col min="7698" max="7935" width="8.875" style="170"/>
    <col min="7936" max="7936" width="6.625" style="170" customWidth="1"/>
    <col min="7937" max="7937" width="7.875" style="170" customWidth="1"/>
    <col min="7938" max="7938" width="8.375" style="170" customWidth="1"/>
    <col min="7939" max="7939" width="8.125" style="170" customWidth="1"/>
    <col min="7940" max="7940" width="40.375" style="170" customWidth="1"/>
    <col min="7941" max="7941" width="16.25" style="170" customWidth="1"/>
    <col min="7942" max="7942" width="14.875" style="170" customWidth="1"/>
    <col min="7943" max="7943" width="8.625" style="170" customWidth="1"/>
    <col min="7944" max="7944" width="15.875" style="170" customWidth="1"/>
    <col min="7945" max="7945" width="13.5" style="170" customWidth="1"/>
    <col min="7946" max="7948" width="0" style="170" hidden="1" customWidth="1"/>
    <col min="7949" max="7949" width="24.625" style="170" customWidth="1"/>
    <col min="7950" max="7950" width="15.625" style="170" customWidth="1"/>
    <col min="7951" max="7952" width="10.625" style="170" customWidth="1"/>
    <col min="7953" max="7953" width="15.625" style="170" customWidth="1"/>
    <col min="7954" max="8191" width="8.875" style="170"/>
    <col min="8192" max="8192" width="6.625" style="170" customWidth="1"/>
    <col min="8193" max="8193" width="7.875" style="170" customWidth="1"/>
    <col min="8194" max="8194" width="8.375" style="170" customWidth="1"/>
    <col min="8195" max="8195" width="8.125" style="170" customWidth="1"/>
    <col min="8196" max="8196" width="40.375" style="170" customWidth="1"/>
    <col min="8197" max="8197" width="16.25" style="170" customWidth="1"/>
    <col min="8198" max="8198" width="14.875" style="170" customWidth="1"/>
    <col min="8199" max="8199" width="8.625" style="170" customWidth="1"/>
    <col min="8200" max="8200" width="15.875" style="170" customWidth="1"/>
    <col min="8201" max="8201" width="13.5" style="170" customWidth="1"/>
    <col min="8202" max="8204" width="0" style="170" hidden="1" customWidth="1"/>
    <col min="8205" max="8205" width="24.625" style="170" customWidth="1"/>
    <col min="8206" max="8206" width="15.625" style="170" customWidth="1"/>
    <col min="8207" max="8208" width="10.625" style="170" customWidth="1"/>
    <col min="8209" max="8209" width="15.625" style="170" customWidth="1"/>
    <col min="8210" max="8447" width="8.875" style="170"/>
    <col min="8448" max="8448" width="6.625" style="170" customWidth="1"/>
    <col min="8449" max="8449" width="7.875" style="170" customWidth="1"/>
    <col min="8450" max="8450" width="8.375" style="170" customWidth="1"/>
    <col min="8451" max="8451" width="8.125" style="170" customWidth="1"/>
    <col min="8452" max="8452" width="40.375" style="170" customWidth="1"/>
    <col min="8453" max="8453" width="16.25" style="170" customWidth="1"/>
    <col min="8454" max="8454" width="14.875" style="170" customWidth="1"/>
    <col min="8455" max="8455" width="8.625" style="170" customWidth="1"/>
    <col min="8456" max="8456" width="15.875" style="170" customWidth="1"/>
    <col min="8457" max="8457" width="13.5" style="170" customWidth="1"/>
    <col min="8458" max="8460" width="0" style="170" hidden="1" customWidth="1"/>
    <col min="8461" max="8461" width="24.625" style="170" customWidth="1"/>
    <col min="8462" max="8462" width="15.625" style="170" customWidth="1"/>
    <col min="8463" max="8464" width="10.625" style="170" customWidth="1"/>
    <col min="8465" max="8465" width="15.625" style="170" customWidth="1"/>
    <col min="8466" max="8703" width="8.875" style="170"/>
    <col min="8704" max="8704" width="6.625" style="170" customWidth="1"/>
    <col min="8705" max="8705" width="7.875" style="170" customWidth="1"/>
    <col min="8706" max="8706" width="8.375" style="170" customWidth="1"/>
    <col min="8707" max="8707" width="8.125" style="170" customWidth="1"/>
    <col min="8708" max="8708" width="40.375" style="170" customWidth="1"/>
    <col min="8709" max="8709" width="16.25" style="170" customWidth="1"/>
    <col min="8710" max="8710" width="14.875" style="170" customWidth="1"/>
    <col min="8711" max="8711" width="8.625" style="170" customWidth="1"/>
    <col min="8712" max="8712" width="15.875" style="170" customWidth="1"/>
    <col min="8713" max="8713" width="13.5" style="170" customWidth="1"/>
    <col min="8714" max="8716" width="0" style="170" hidden="1" customWidth="1"/>
    <col min="8717" max="8717" width="24.625" style="170" customWidth="1"/>
    <col min="8718" max="8718" width="15.625" style="170" customWidth="1"/>
    <col min="8719" max="8720" width="10.625" style="170" customWidth="1"/>
    <col min="8721" max="8721" width="15.625" style="170" customWidth="1"/>
    <col min="8722" max="8959" width="8.875" style="170"/>
    <col min="8960" max="8960" width="6.625" style="170" customWidth="1"/>
    <col min="8961" max="8961" width="7.875" style="170" customWidth="1"/>
    <col min="8962" max="8962" width="8.375" style="170" customWidth="1"/>
    <col min="8963" max="8963" width="8.125" style="170" customWidth="1"/>
    <col min="8964" max="8964" width="40.375" style="170" customWidth="1"/>
    <col min="8965" max="8965" width="16.25" style="170" customWidth="1"/>
    <col min="8966" max="8966" width="14.875" style="170" customWidth="1"/>
    <col min="8967" max="8967" width="8.625" style="170" customWidth="1"/>
    <col min="8968" max="8968" width="15.875" style="170" customWidth="1"/>
    <col min="8969" max="8969" width="13.5" style="170" customWidth="1"/>
    <col min="8970" max="8972" width="0" style="170" hidden="1" customWidth="1"/>
    <col min="8973" max="8973" width="24.625" style="170" customWidth="1"/>
    <col min="8974" max="8974" width="15.625" style="170" customWidth="1"/>
    <col min="8975" max="8976" width="10.625" style="170" customWidth="1"/>
    <col min="8977" max="8977" width="15.625" style="170" customWidth="1"/>
    <col min="8978" max="9215" width="8.875" style="170"/>
    <col min="9216" max="9216" width="6.625" style="170" customWidth="1"/>
    <col min="9217" max="9217" width="7.875" style="170" customWidth="1"/>
    <col min="9218" max="9218" width="8.375" style="170" customWidth="1"/>
    <col min="9219" max="9219" width="8.125" style="170" customWidth="1"/>
    <col min="9220" max="9220" width="40.375" style="170" customWidth="1"/>
    <col min="9221" max="9221" width="16.25" style="170" customWidth="1"/>
    <col min="9222" max="9222" width="14.875" style="170" customWidth="1"/>
    <col min="9223" max="9223" width="8.625" style="170" customWidth="1"/>
    <col min="9224" max="9224" width="15.875" style="170" customWidth="1"/>
    <col min="9225" max="9225" width="13.5" style="170" customWidth="1"/>
    <col min="9226" max="9228" width="0" style="170" hidden="1" customWidth="1"/>
    <col min="9229" max="9229" width="24.625" style="170" customWidth="1"/>
    <col min="9230" max="9230" width="15.625" style="170" customWidth="1"/>
    <col min="9231" max="9232" width="10.625" style="170" customWidth="1"/>
    <col min="9233" max="9233" width="15.625" style="170" customWidth="1"/>
    <col min="9234" max="9471" width="8.875" style="170"/>
    <col min="9472" max="9472" width="6.625" style="170" customWidth="1"/>
    <col min="9473" max="9473" width="7.875" style="170" customWidth="1"/>
    <col min="9474" max="9474" width="8.375" style="170" customWidth="1"/>
    <col min="9475" max="9475" width="8.125" style="170" customWidth="1"/>
    <col min="9476" max="9476" width="40.375" style="170" customWidth="1"/>
    <col min="9477" max="9477" width="16.25" style="170" customWidth="1"/>
    <col min="9478" max="9478" width="14.875" style="170" customWidth="1"/>
    <col min="9479" max="9479" width="8.625" style="170" customWidth="1"/>
    <col min="9480" max="9480" width="15.875" style="170" customWidth="1"/>
    <col min="9481" max="9481" width="13.5" style="170" customWidth="1"/>
    <col min="9482" max="9484" width="0" style="170" hidden="1" customWidth="1"/>
    <col min="9485" max="9485" width="24.625" style="170" customWidth="1"/>
    <col min="9486" max="9486" width="15.625" style="170" customWidth="1"/>
    <col min="9487" max="9488" width="10.625" style="170" customWidth="1"/>
    <col min="9489" max="9489" width="15.625" style="170" customWidth="1"/>
    <col min="9490" max="9727" width="8.875" style="170"/>
    <col min="9728" max="9728" width="6.625" style="170" customWidth="1"/>
    <col min="9729" max="9729" width="7.875" style="170" customWidth="1"/>
    <col min="9730" max="9730" width="8.375" style="170" customWidth="1"/>
    <col min="9731" max="9731" width="8.125" style="170" customWidth="1"/>
    <col min="9732" max="9732" width="40.375" style="170" customWidth="1"/>
    <col min="9733" max="9733" width="16.25" style="170" customWidth="1"/>
    <col min="9734" max="9734" width="14.875" style="170" customWidth="1"/>
    <col min="9735" max="9735" width="8.625" style="170" customWidth="1"/>
    <col min="9736" max="9736" width="15.875" style="170" customWidth="1"/>
    <col min="9737" max="9737" width="13.5" style="170" customWidth="1"/>
    <col min="9738" max="9740" width="0" style="170" hidden="1" customWidth="1"/>
    <col min="9741" max="9741" width="24.625" style="170" customWidth="1"/>
    <col min="9742" max="9742" width="15.625" style="170" customWidth="1"/>
    <col min="9743" max="9744" width="10.625" style="170" customWidth="1"/>
    <col min="9745" max="9745" width="15.625" style="170" customWidth="1"/>
    <col min="9746" max="9983" width="8.875" style="170"/>
    <col min="9984" max="9984" width="6.625" style="170" customWidth="1"/>
    <col min="9985" max="9985" width="7.875" style="170" customWidth="1"/>
    <col min="9986" max="9986" width="8.375" style="170" customWidth="1"/>
    <col min="9987" max="9987" width="8.125" style="170" customWidth="1"/>
    <col min="9988" max="9988" width="40.375" style="170" customWidth="1"/>
    <col min="9989" max="9989" width="16.25" style="170" customWidth="1"/>
    <col min="9990" max="9990" width="14.875" style="170" customWidth="1"/>
    <col min="9991" max="9991" width="8.625" style="170" customWidth="1"/>
    <col min="9992" max="9992" width="15.875" style="170" customWidth="1"/>
    <col min="9993" max="9993" width="13.5" style="170" customWidth="1"/>
    <col min="9994" max="9996" width="0" style="170" hidden="1" customWidth="1"/>
    <col min="9997" max="9997" width="24.625" style="170" customWidth="1"/>
    <col min="9998" max="9998" width="15.625" style="170" customWidth="1"/>
    <col min="9999" max="10000" width="10.625" style="170" customWidth="1"/>
    <col min="10001" max="10001" width="15.625" style="170" customWidth="1"/>
    <col min="10002" max="10239" width="8.875" style="170"/>
    <col min="10240" max="10240" width="6.625" style="170" customWidth="1"/>
    <col min="10241" max="10241" width="7.875" style="170" customWidth="1"/>
    <col min="10242" max="10242" width="8.375" style="170" customWidth="1"/>
    <col min="10243" max="10243" width="8.125" style="170" customWidth="1"/>
    <col min="10244" max="10244" width="40.375" style="170" customWidth="1"/>
    <col min="10245" max="10245" width="16.25" style="170" customWidth="1"/>
    <col min="10246" max="10246" width="14.875" style="170" customWidth="1"/>
    <col min="10247" max="10247" width="8.625" style="170" customWidth="1"/>
    <col min="10248" max="10248" width="15.875" style="170" customWidth="1"/>
    <col min="10249" max="10249" width="13.5" style="170" customWidth="1"/>
    <col min="10250" max="10252" width="0" style="170" hidden="1" customWidth="1"/>
    <col min="10253" max="10253" width="24.625" style="170" customWidth="1"/>
    <col min="10254" max="10254" width="15.625" style="170" customWidth="1"/>
    <col min="10255" max="10256" width="10.625" style="170" customWidth="1"/>
    <col min="10257" max="10257" width="15.625" style="170" customWidth="1"/>
    <col min="10258" max="10495" width="8.875" style="170"/>
    <col min="10496" max="10496" width="6.625" style="170" customWidth="1"/>
    <col min="10497" max="10497" width="7.875" style="170" customWidth="1"/>
    <col min="10498" max="10498" width="8.375" style="170" customWidth="1"/>
    <col min="10499" max="10499" width="8.125" style="170" customWidth="1"/>
    <col min="10500" max="10500" width="40.375" style="170" customWidth="1"/>
    <col min="10501" max="10501" width="16.25" style="170" customWidth="1"/>
    <col min="10502" max="10502" width="14.875" style="170" customWidth="1"/>
    <col min="10503" max="10503" width="8.625" style="170" customWidth="1"/>
    <col min="10504" max="10504" width="15.875" style="170" customWidth="1"/>
    <col min="10505" max="10505" width="13.5" style="170" customWidth="1"/>
    <col min="10506" max="10508" width="0" style="170" hidden="1" customWidth="1"/>
    <col min="10509" max="10509" width="24.625" style="170" customWidth="1"/>
    <col min="10510" max="10510" width="15.625" style="170" customWidth="1"/>
    <col min="10511" max="10512" width="10.625" style="170" customWidth="1"/>
    <col min="10513" max="10513" width="15.625" style="170" customWidth="1"/>
    <col min="10514" max="10751" width="8.875" style="170"/>
    <col min="10752" max="10752" width="6.625" style="170" customWidth="1"/>
    <col min="10753" max="10753" width="7.875" style="170" customWidth="1"/>
    <col min="10754" max="10754" width="8.375" style="170" customWidth="1"/>
    <col min="10755" max="10755" width="8.125" style="170" customWidth="1"/>
    <col min="10756" max="10756" width="40.375" style="170" customWidth="1"/>
    <col min="10757" max="10757" width="16.25" style="170" customWidth="1"/>
    <col min="10758" max="10758" width="14.875" style="170" customWidth="1"/>
    <col min="10759" max="10759" width="8.625" style="170" customWidth="1"/>
    <col min="10760" max="10760" width="15.875" style="170" customWidth="1"/>
    <col min="10761" max="10761" width="13.5" style="170" customWidth="1"/>
    <col min="10762" max="10764" width="0" style="170" hidden="1" customWidth="1"/>
    <col min="10765" max="10765" width="24.625" style="170" customWidth="1"/>
    <col min="10766" max="10766" width="15.625" style="170" customWidth="1"/>
    <col min="10767" max="10768" width="10.625" style="170" customWidth="1"/>
    <col min="10769" max="10769" width="15.625" style="170" customWidth="1"/>
    <col min="10770" max="11007" width="8.875" style="170"/>
    <col min="11008" max="11008" width="6.625" style="170" customWidth="1"/>
    <col min="11009" max="11009" width="7.875" style="170" customWidth="1"/>
    <col min="11010" max="11010" width="8.375" style="170" customWidth="1"/>
    <col min="11011" max="11011" width="8.125" style="170" customWidth="1"/>
    <col min="11012" max="11012" width="40.375" style="170" customWidth="1"/>
    <col min="11013" max="11013" width="16.25" style="170" customWidth="1"/>
    <col min="11014" max="11014" width="14.875" style="170" customWidth="1"/>
    <col min="11015" max="11015" width="8.625" style="170" customWidth="1"/>
    <col min="11016" max="11016" width="15.875" style="170" customWidth="1"/>
    <col min="11017" max="11017" width="13.5" style="170" customWidth="1"/>
    <col min="11018" max="11020" width="0" style="170" hidden="1" customWidth="1"/>
    <col min="11021" max="11021" width="24.625" style="170" customWidth="1"/>
    <col min="11022" max="11022" width="15.625" style="170" customWidth="1"/>
    <col min="11023" max="11024" width="10.625" style="170" customWidth="1"/>
    <col min="11025" max="11025" width="15.625" style="170" customWidth="1"/>
    <col min="11026" max="11263" width="8.875" style="170"/>
    <col min="11264" max="11264" width="6.625" style="170" customWidth="1"/>
    <col min="11265" max="11265" width="7.875" style="170" customWidth="1"/>
    <col min="11266" max="11266" width="8.375" style="170" customWidth="1"/>
    <col min="11267" max="11267" width="8.125" style="170" customWidth="1"/>
    <col min="11268" max="11268" width="40.375" style="170" customWidth="1"/>
    <col min="11269" max="11269" width="16.25" style="170" customWidth="1"/>
    <col min="11270" max="11270" width="14.875" style="170" customWidth="1"/>
    <col min="11271" max="11271" width="8.625" style="170" customWidth="1"/>
    <col min="11272" max="11272" width="15.875" style="170" customWidth="1"/>
    <col min="11273" max="11273" width="13.5" style="170" customWidth="1"/>
    <col min="11274" max="11276" width="0" style="170" hidden="1" customWidth="1"/>
    <col min="11277" max="11277" width="24.625" style="170" customWidth="1"/>
    <col min="11278" max="11278" width="15.625" style="170" customWidth="1"/>
    <col min="11279" max="11280" width="10.625" style="170" customWidth="1"/>
    <col min="11281" max="11281" width="15.625" style="170" customWidth="1"/>
    <col min="11282" max="11519" width="8.875" style="170"/>
    <col min="11520" max="11520" width="6.625" style="170" customWidth="1"/>
    <col min="11521" max="11521" width="7.875" style="170" customWidth="1"/>
    <col min="11522" max="11522" width="8.375" style="170" customWidth="1"/>
    <col min="11523" max="11523" width="8.125" style="170" customWidth="1"/>
    <col min="11524" max="11524" width="40.375" style="170" customWidth="1"/>
    <col min="11525" max="11525" width="16.25" style="170" customWidth="1"/>
    <col min="11526" max="11526" width="14.875" style="170" customWidth="1"/>
    <col min="11527" max="11527" width="8.625" style="170" customWidth="1"/>
    <col min="11528" max="11528" width="15.875" style="170" customWidth="1"/>
    <col min="11529" max="11529" width="13.5" style="170" customWidth="1"/>
    <col min="11530" max="11532" width="0" style="170" hidden="1" customWidth="1"/>
    <col min="11533" max="11533" width="24.625" style="170" customWidth="1"/>
    <col min="11534" max="11534" width="15.625" style="170" customWidth="1"/>
    <col min="11535" max="11536" width="10.625" style="170" customWidth="1"/>
    <col min="11537" max="11537" width="15.625" style="170" customWidth="1"/>
    <col min="11538" max="11775" width="8.875" style="170"/>
    <col min="11776" max="11776" width="6.625" style="170" customWidth="1"/>
    <col min="11777" max="11777" width="7.875" style="170" customWidth="1"/>
    <col min="11778" max="11778" width="8.375" style="170" customWidth="1"/>
    <col min="11779" max="11779" width="8.125" style="170" customWidth="1"/>
    <col min="11780" max="11780" width="40.375" style="170" customWidth="1"/>
    <col min="11781" max="11781" width="16.25" style="170" customWidth="1"/>
    <col min="11782" max="11782" width="14.875" style="170" customWidth="1"/>
    <col min="11783" max="11783" width="8.625" style="170" customWidth="1"/>
    <col min="11784" max="11784" width="15.875" style="170" customWidth="1"/>
    <col min="11785" max="11785" width="13.5" style="170" customWidth="1"/>
    <col min="11786" max="11788" width="0" style="170" hidden="1" customWidth="1"/>
    <col min="11789" max="11789" width="24.625" style="170" customWidth="1"/>
    <col min="11790" max="11790" width="15.625" style="170" customWidth="1"/>
    <col min="11791" max="11792" width="10.625" style="170" customWidth="1"/>
    <col min="11793" max="11793" width="15.625" style="170" customWidth="1"/>
    <col min="11794" max="12031" width="8.875" style="170"/>
    <col min="12032" max="12032" width="6.625" style="170" customWidth="1"/>
    <col min="12033" max="12033" width="7.875" style="170" customWidth="1"/>
    <col min="12034" max="12034" width="8.375" style="170" customWidth="1"/>
    <col min="12035" max="12035" width="8.125" style="170" customWidth="1"/>
    <col min="12036" max="12036" width="40.375" style="170" customWidth="1"/>
    <col min="12037" max="12037" width="16.25" style="170" customWidth="1"/>
    <col min="12038" max="12038" width="14.875" style="170" customWidth="1"/>
    <col min="12039" max="12039" width="8.625" style="170" customWidth="1"/>
    <col min="12040" max="12040" width="15.875" style="170" customWidth="1"/>
    <col min="12041" max="12041" width="13.5" style="170" customWidth="1"/>
    <col min="12042" max="12044" width="0" style="170" hidden="1" customWidth="1"/>
    <col min="12045" max="12045" width="24.625" style="170" customWidth="1"/>
    <col min="12046" max="12046" width="15.625" style="170" customWidth="1"/>
    <col min="12047" max="12048" width="10.625" style="170" customWidth="1"/>
    <col min="12049" max="12049" width="15.625" style="170" customWidth="1"/>
    <col min="12050" max="12287" width="8.875" style="170"/>
    <col min="12288" max="12288" width="6.625" style="170" customWidth="1"/>
    <col min="12289" max="12289" width="7.875" style="170" customWidth="1"/>
    <col min="12290" max="12290" width="8.375" style="170" customWidth="1"/>
    <col min="12291" max="12291" width="8.125" style="170" customWidth="1"/>
    <col min="12292" max="12292" width="40.375" style="170" customWidth="1"/>
    <col min="12293" max="12293" width="16.25" style="170" customWidth="1"/>
    <col min="12294" max="12294" width="14.875" style="170" customWidth="1"/>
    <col min="12295" max="12295" width="8.625" style="170" customWidth="1"/>
    <col min="12296" max="12296" width="15.875" style="170" customWidth="1"/>
    <col min="12297" max="12297" width="13.5" style="170" customWidth="1"/>
    <col min="12298" max="12300" width="0" style="170" hidden="1" customWidth="1"/>
    <col min="12301" max="12301" width="24.625" style="170" customWidth="1"/>
    <col min="12302" max="12302" width="15.625" style="170" customWidth="1"/>
    <col min="12303" max="12304" width="10.625" style="170" customWidth="1"/>
    <col min="12305" max="12305" width="15.625" style="170" customWidth="1"/>
    <col min="12306" max="12543" width="8.875" style="170"/>
    <col min="12544" max="12544" width="6.625" style="170" customWidth="1"/>
    <col min="12545" max="12545" width="7.875" style="170" customWidth="1"/>
    <col min="12546" max="12546" width="8.375" style="170" customWidth="1"/>
    <col min="12547" max="12547" width="8.125" style="170" customWidth="1"/>
    <col min="12548" max="12548" width="40.375" style="170" customWidth="1"/>
    <col min="12549" max="12549" width="16.25" style="170" customWidth="1"/>
    <col min="12550" max="12550" width="14.875" style="170" customWidth="1"/>
    <col min="12551" max="12551" width="8.625" style="170" customWidth="1"/>
    <col min="12552" max="12552" width="15.875" style="170" customWidth="1"/>
    <col min="12553" max="12553" width="13.5" style="170" customWidth="1"/>
    <col min="12554" max="12556" width="0" style="170" hidden="1" customWidth="1"/>
    <col min="12557" max="12557" width="24.625" style="170" customWidth="1"/>
    <col min="12558" max="12558" width="15.625" style="170" customWidth="1"/>
    <col min="12559" max="12560" width="10.625" style="170" customWidth="1"/>
    <col min="12561" max="12561" width="15.625" style="170" customWidth="1"/>
    <col min="12562" max="12799" width="8.875" style="170"/>
    <col min="12800" max="12800" width="6.625" style="170" customWidth="1"/>
    <col min="12801" max="12801" width="7.875" style="170" customWidth="1"/>
    <col min="12802" max="12802" width="8.375" style="170" customWidth="1"/>
    <col min="12803" max="12803" width="8.125" style="170" customWidth="1"/>
    <col min="12804" max="12804" width="40.375" style="170" customWidth="1"/>
    <col min="12805" max="12805" width="16.25" style="170" customWidth="1"/>
    <col min="12806" max="12806" width="14.875" style="170" customWidth="1"/>
    <col min="12807" max="12807" width="8.625" style="170" customWidth="1"/>
    <col min="12808" max="12808" width="15.875" style="170" customWidth="1"/>
    <col min="12809" max="12809" width="13.5" style="170" customWidth="1"/>
    <col min="12810" max="12812" width="0" style="170" hidden="1" customWidth="1"/>
    <col min="12813" max="12813" width="24.625" style="170" customWidth="1"/>
    <col min="12814" max="12814" width="15.625" style="170" customWidth="1"/>
    <col min="12815" max="12816" width="10.625" style="170" customWidth="1"/>
    <col min="12817" max="12817" width="15.625" style="170" customWidth="1"/>
    <col min="12818" max="13055" width="8.875" style="170"/>
    <col min="13056" max="13056" width="6.625" style="170" customWidth="1"/>
    <col min="13057" max="13057" width="7.875" style="170" customWidth="1"/>
    <col min="13058" max="13058" width="8.375" style="170" customWidth="1"/>
    <col min="13059" max="13059" width="8.125" style="170" customWidth="1"/>
    <col min="13060" max="13060" width="40.375" style="170" customWidth="1"/>
    <col min="13061" max="13061" width="16.25" style="170" customWidth="1"/>
    <col min="13062" max="13062" width="14.875" style="170" customWidth="1"/>
    <col min="13063" max="13063" width="8.625" style="170" customWidth="1"/>
    <col min="13064" max="13064" width="15.875" style="170" customWidth="1"/>
    <col min="13065" max="13065" width="13.5" style="170" customWidth="1"/>
    <col min="13066" max="13068" width="0" style="170" hidden="1" customWidth="1"/>
    <col min="13069" max="13069" width="24.625" style="170" customWidth="1"/>
    <col min="13070" max="13070" width="15.625" style="170" customWidth="1"/>
    <col min="13071" max="13072" width="10.625" style="170" customWidth="1"/>
    <col min="13073" max="13073" width="15.625" style="170" customWidth="1"/>
    <col min="13074" max="13311" width="8.875" style="170"/>
    <col min="13312" max="13312" width="6.625" style="170" customWidth="1"/>
    <col min="13313" max="13313" width="7.875" style="170" customWidth="1"/>
    <col min="13314" max="13314" width="8.375" style="170" customWidth="1"/>
    <col min="13315" max="13315" width="8.125" style="170" customWidth="1"/>
    <col min="13316" max="13316" width="40.375" style="170" customWidth="1"/>
    <col min="13317" max="13317" width="16.25" style="170" customWidth="1"/>
    <col min="13318" max="13318" width="14.875" style="170" customWidth="1"/>
    <col min="13319" max="13319" width="8.625" style="170" customWidth="1"/>
    <col min="13320" max="13320" width="15.875" style="170" customWidth="1"/>
    <col min="13321" max="13321" width="13.5" style="170" customWidth="1"/>
    <col min="13322" max="13324" width="0" style="170" hidden="1" customWidth="1"/>
    <col min="13325" max="13325" width="24.625" style="170" customWidth="1"/>
    <col min="13326" max="13326" width="15.625" style="170" customWidth="1"/>
    <col min="13327" max="13328" width="10.625" style="170" customWidth="1"/>
    <col min="13329" max="13329" width="15.625" style="170" customWidth="1"/>
    <col min="13330" max="13567" width="8.875" style="170"/>
    <col min="13568" max="13568" width="6.625" style="170" customWidth="1"/>
    <col min="13569" max="13569" width="7.875" style="170" customWidth="1"/>
    <col min="13570" max="13570" width="8.375" style="170" customWidth="1"/>
    <col min="13571" max="13571" width="8.125" style="170" customWidth="1"/>
    <col min="13572" max="13572" width="40.375" style="170" customWidth="1"/>
    <col min="13573" max="13573" width="16.25" style="170" customWidth="1"/>
    <col min="13574" max="13574" width="14.875" style="170" customWidth="1"/>
    <col min="13575" max="13575" width="8.625" style="170" customWidth="1"/>
    <col min="13576" max="13576" width="15.875" style="170" customWidth="1"/>
    <col min="13577" max="13577" width="13.5" style="170" customWidth="1"/>
    <col min="13578" max="13580" width="0" style="170" hidden="1" customWidth="1"/>
    <col min="13581" max="13581" width="24.625" style="170" customWidth="1"/>
    <col min="13582" max="13582" width="15.625" style="170" customWidth="1"/>
    <col min="13583" max="13584" width="10.625" style="170" customWidth="1"/>
    <col min="13585" max="13585" width="15.625" style="170" customWidth="1"/>
    <col min="13586" max="13823" width="8.875" style="170"/>
    <col min="13824" max="13824" width="6.625" style="170" customWidth="1"/>
    <col min="13825" max="13825" width="7.875" style="170" customWidth="1"/>
    <col min="13826" max="13826" width="8.375" style="170" customWidth="1"/>
    <col min="13827" max="13827" width="8.125" style="170" customWidth="1"/>
    <col min="13828" max="13828" width="40.375" style="170" customWidth="1"/>
    <col min="13829" max="13829" width="16.25" style="170" customWidth="1"/>
    <col min="13830" max="13830" width="14.875" style="170" customWidth="1"/>
    <col min="13831" max="13831" width="8.625" style="170" customWidth="1"/>
    <col min="13832" max="13832" width="15.875" style="170" customWidth="1"/>
    <col min="13833" max="13833" width="13.5" style="170" customWidth="1"/>
    <col min="13834" max="13836" width="0" style="170" hidden="1" customWidth="1"/>
    <col min="13837" max="13837" width="24.625" style="170" customWidth="1"/>
    <col min="13838" max="13838" width="15.625" style="170" customWidth="1"/>
    <col min="13839" max="13840" width="10.625" style="170" customWidth="1"/>
    <col min="13841" max="13841" width="15.625" style="170" customWidth="1"/>
    <col min="13842" max="14079" width="8.875" style="170"/>
    <col min="14080" max="14080" width="6.625" style="170" customWidth="1"/>
    <col min="14081" max="14081" width="7.875" style="170" customWidth="1"/>
    <col min="14082" max="14082" width="8.375" style="170" customWidth="1"/>
    <col min="14083" max="14083" width="8.125" style="170" customWidth="1"/>
    <col min="14084" max="14084" width="40.375" style="170" customWidth="1"/>
    <col min="14085" max="14085" width="16.25" style="170" customWidth="1"/>
    <col min="14086" max="14086" width="14.875" style="170" customWidth="1"/>
    <col min="14087" max="14087" width="8.625" style="170" customWidth="1"/>
    <col min="14088" max="14088" width="15.875" style="170" customWidth="1"/>
    <col min="14089" max="14089" width="13.5" style="170" customWidth="1"/>
    <col min="14090" max="14092" width="0" style="170" hidden="1" customWidth="1"/>
    <col min="14093" max="14093" width="24.625" style="170" customWidth="1"/>
    <col min="14094" max="14094" width="15.625" style="170" customWidth="1"/>
    <col min="14095" max="14096" width="10.625" style="170" customWidth="1"/>
    <col min="14097" max="14097" width="15.625" style="170" customWidth="1"/>
    <col min="14098" max="14335" width="8.875" style="170"/>
    <col min="14336" max="14336" width="6.625" style="170" customWidth="1"/>
    <col min="14337" max="14337" width="7.875" style="170" customWidth="1"/>
    <col min="14338" max="14338" width="8.375" style="170" customWidth="1"/>
    <col min="14339" max="14339" width="8.125" style="170" customWidth="1"/>
    <col min="14340" max="14340" width="40.375" style="170" customWidth="1"/>
    <col min="14341" max="14341" width="16.25" style="170" customWidth="1"/>
    <col min="14342" max="14342" width="14.875" style="170" customWidth="1"/>
    <col min="14343" max="14343" width="8.625" style="170" customWidth="1"/>
    <col min="14344" max="14344" width="15.875" style="170" customWidth="1"/>
    <col min="14345" max="14345" width="13.5" style="170" customWidth="1"/>
    <col min="14346" max="14348" width="0" style="170" hidden="1" customWidth="1"/>
    <col min="14349" max="14349" width="24.625" style="170" customWidth="1"/>
    <col min="14350" max="14350" width="15.625" style="170" customWidth="1"/>
    <col min="14351" max="14352" width="10.625" style="170" customWidth="1"/>
    <col min="14353" max="14353" width="15.625" style="170" customWidth="1"/>
    <col min="14354" max="14591" width="8.875" style="170"/>
    <col min="14592" max="14592" width="6.625" style="170" customWidth="1"/>
    <col min="14593" max="14593" width="7.875" style="170" customWidth="1"/>
    <col min="14594" max="14594" width="8.375" style="170" customWidth="1"/>
    <col min="14595" max="14595" width="8.125" style="170" customWidth="1"/>
    <col min="14596" max="14596" width="40.375" style="170" customWidth="1"/>
    <col min="14597" max="14597" width="16.25" style="170" customWidth="1"/>
    <col min="14598" max="14598" width="14.875" style="170" customWidth="1"/>
    <col min="14599" max="14599" width="8.625" style="170" customWidth="1"/>
    <col min="14600" max="14600" width="15.875" style="170" customWidth="1"/>
    <col min="14601" max="14601" width="13.5" style="170" customWidth="1"/>
    <col min="14602" max="14604" width="0" style="170" hidden="1" customWidth="1"/>
    <col min="14605" max="14605" width="24.625" style="170" customWidth="1"/>
    <col min="14606" max="14606" width="15.625" style="170" customWidth="1"/>
    <col min="14607" max="14608" width="10.625" style="170" customWidth="1"/>
    <col min="14609" max="14609" width="15.625" style="170" customWidth="1"/>
    <col min="14610" max="14847" width="8.875" style="170"/>
    <col min="14848" max="14848" width="6.625" style="170" customWidth="1"/>
    <col min="14849" max="14849" width="7.875" style="170" customWidth="1"/>
    <col min="14850" max="14850" width="8.375" style="170" customWidth="1"/>
    <col min="14851" max="14851" width="8.125" style="170" customWidth="1"/>
    <col min="14852" max="14852" width="40.375" style="170" customWidth="1"/>
    <col min="14853" max="14853" width="16.25" style="170" customWidth="1"/>
    <col min="14854" max="14854" width="14.875" style="170" customWidth="1"/>
    <col min="14855" max="14855" width="8.625" style="170" customWidth="1"/>
    <col min="14856" max="14856" width="15.875" style="170" customWidth="1"/>
    <col min="14857" max="14857" width="13.5" style="170" customWidth="1"/>
    <col min="14858" max="14860" width="0" style="170" hidden="1" customWidth="1"/>
    <col min="14861" max="14861" width="24.625" style="170" customWidth="1"/>
    <col min="14862" max="14862" width="15.625" style="170" customWidth="1"/>
    <col min="14863" max="14864" width="10.625" style="170" customWidth="1"/>
    <col min="14865" max="14865" width="15.625" style="170" customWidth="1"/>
    <col min="14866" max="15103" width="8.875" style="170"/>
    <col min="15104" max="15104" width="6.625" style="170" customWidth="1"/>
    <col min="15105" max="15105" width="7.875" style="170" customWidth="1"/>
    <col min="15106" max="15106" width="8.375" style="170" customWidth="1"/>
    <col min="15107" max="15107" width="8.125" style="170" customWidth="1"/>
    <col min="15108" max="15108" width="40.375" style="170" customWidth="1"/>
    <col min="15109" max="15109" width="16.25" style="170" customWidth="1"/>
    <col min="15110" max="15110" width="14.875" style="170" customWidth="1"/>
    <col min="15111" max="15111" width="8.625" style="170" customWidth="1"/>
    <col min="15112" max="15112" width="15.875" style="170" customWidth="1"/>
    <col min="15113" max="15113" width="13.5" style="170" customWidth="1"/>
    <col min="15114" max="15116" width="0" style="170" hidden="1" customWidth="1"/>
    <col min="15117" max="15117" width="24.625" style="170" customWidth="1"/>
    <col min="15118" max="15118" width="15.625" style="170" customWidth="1"/>
    <col min="15119" max="15120" width="10.625" style="170" customWidth="1"/>
    <col min="15121" max="15121" width="15.625" style="170" customWidth="1"/>
    <col min="15122" max="15359" width="8.875" style="170"/>
    <col min="15360" max="15360" width="6.625" style="170" customWidth="1"/>
    <col min="15361" max="15361" width="7.875" style="170" customWidth="1"/>
    <col min="15362" max="15362" width="8.375" style="170" customWidth="1"/>
    <col min="15363" max="15363" width="8.125" style="170" customWidth="1"/>
    <col min="15364" max="15364" width="40.375" style="170" customWidth="1"/>
    <col min="15365" max="15365" width="16.25" style="170" customWidth="1"/>
    <col min="15366" max="15366" width="14.875" style="170" customWidth="1"/>
    <col min="15367" max="15367" width="8.625" style="170" customWidth="1"/>
    <col min="15368" max="15368" width="15.875" style="170" customWidth="1"/>
    <col min="15369" max="15369" width="13.5" style="170" customWidth="1"/>
    <col min="15370" max="15372" width="0" style="170" hidden="1" customWidth="1"/>
    <col min="15373" max="15373" width="24.625" style="170" customWidth="1"/>
    <col min="15374" max="15374" width="15.625" style="170" customWidth="1"/>
    <col min="15375" max="15376" width="10.625" style="170" customWidth="1"/>
    <col min="15377" max="15377" width="15.625" style="170" customWidth="1"/>
    <col min="15378" max="15615" width="8.875" style="170"/>
    <col min="15616" max="15616" width="6.625" style="170" customWidth="1"/>
    <col min="15617" max="15617" width="7.875" style="170" customWidth="1"/>
    <col min="15618" max="15618" width="8.375" style="170" customWidth="1"/>
    <col min="15619" max="15619" width="8.125" style="170" customWidth="1"/>
    <col min="15620" max="15620" width="40.375" style="170" customWidth="1"/>
    <col min="15621" max="15621" width="16.25" style="170" customWidth="1"/>
    <col min="15622" max="15622" width="14.875" style="170" customWidth="1"/>
    <col min="15623" max="15623" width="8.625" style="170" customWidth="1"/>
    <col min="15624" max="15624" width="15.875" style="170" customWidth="1"/>
    <col min="15625" max="15625" width="13.5" style="170" customWidth="1"/>
    <col min="15626" max="15628" width="0" style="170" hidden="1" customWidth="1"/>
    <col min="15629" max="15629" width="24.625" style="170" customWidth="1"/>
    <col min="15630" max="15630" width="15.625" style="170" customWidth="1"/>
    <col min="15631" max="15632" width="10.625" style="170" customWidth="1"/>
    <col min="15633" max="15633" width="15.625" style="170" customWidth="1"/>
    <col min="15634" max="15871" width="8.875" style="170"/>
    <col min="15872" max="15872" width="6.625" style="170" customWidth="1"/>
    <col min="15873" max="15873" width="7.875" style="170" customWidth="1"/>
    <col min="15874" max="15874" width="8.375" style="170" customWidth="1"/>
    <col min="15875" max="15875" width="8.125" style="170" customWidth="1"/>
    <col min="15876" max="15876" width="40.375" style="170" customWidth="1"/>
    <col min="15877" max="15877" width="16.25" style="170" customWidth="1"/>
    <col min="15878" max="15878" width="14.875" style="170" customWidth="1"/>
    <col min="15879" max="15879" width="8.625" style="170" customWidth="1"/>
    <col min="15880" max="15880" width="15.875" style="170" customWidth="1"/>
    <col min="15881" max="15881" width="13.5" style="170" customWidth="1"/>
    <col min="15882" max="15884" width="0" style="170" hidden="1" customWidth="1"/>
    <col min="15885" max="15885" width="24.625" style="170" customWidth="1"/>
    <col min="15886" max="15886" width="15.625" style="170" customWidth="1"/>
    <col min="15887" max="15888" width="10.625" style="170" customWidth="1"/>
    <col min="15889" max="15889" width="15.625" style="170" customWidth="1"/>
    <col min="15890" max="16127" width="8.875" style="170"/>
    <col min="16128" max="16128" width="6.625" style="170" customWidth="1"/>
    <col min="16129" max="16129" width="7.875" style="170" customWidth="1"/>
    <col min="16130" max="16130" width="8.375" style="170" customWidth="1"/>
    <col min="16131" max="16131" width="8.125" style="170" customWidth="1"/>
    <col min="16132" max="16132" width="40.375" style="170" customWidth="1"/>
    <col min="16133" max="16133" width="16.25" style="170" customWidth="1"/>
    <col min="16134" max="16134" width="14.875" style="170" customWidth="1"/>
    <col min="16135" max="16135" width="8.625" style="170" customWidth="1"/>
    <col min="16136" max="16136" width="15.875" style="170" customWidth="1"/>
    <col min="16137" max="16137" width="13.5" style="170" customWidth="1"/>
    <col min="16138" max="16140" width="0" style="170" hidden="1" customWidth="1"/>
    <col min="16141" max="16141" width="24.625" style="170" customWidth="1"/>
    <col min="16142" max="16142" width="15.625" style="170" customWidth="1"/>
    <col min="16143" max="16144" width="10.625" style="170" customWidth="1"/>
    <col min="16145" max="16145" width="15.625" style="170" customWidth="1"/>
    <col min="16146" max="16384" width="8.875" style="170"/>
  </cols>
  <sheetData>
    <row r="1" spans="1:14" s="169" customFormat="1" ht="31.15" customHeight="1" thickBot="1">
      <c r="A1" s="414"/>
      <c r="B1" s="414"/>
      <c r="C1" s="414"/>
      <c r="D1" s="430"/>
      <c r="E1" s="534"/>
      <c r="F1" s="22"/>
      <c r="G1" s="414"/>
      <c r="H1" s="169" t="s">
        <v>1129</v>
      </c>
      <c r="I1" s="415">
        <f ca="1">TODAY()</f>
        <v>46030</v>
      </c>
      <c r="J1" s="414"/>
      <c r="K1" s="414"/>
      <c r="L1" s="414"/>
      <c r="M1" s="413" t="s">
        <v>518</v>
      </c>
      <c r="N1" s="415"/>
    </row>
    <row r="2" spans="1:14" ht="42" customHeight="1">
      <c r="A2" s="452" t="s">
        <v>37</v>
      </c>
      <c r="B2" s="453" t="s">
        <v>269</v>
      </c>
      <c r="C2" s="453" t="s">
        <v>270</v>
      </c>
      <c r="D2" s="453" t="s">
        <v>271</v>
      </c>
      <c r="E2" s="383" t="s">
        <v>912</v>
      </c>
      <c r="F2" s="383" t="s">
        <v>520</v>
      </c>
      <c r="G2" s="532" t="s">
        <v>521</v>
      </c>
      <c r="H2" s="382" t="s">
        <v>522</v>
      </c>
      <c r="I2" s="385" t="s">
        <v>523</v>
      </c>
      <c r="J2" s="595" t="s">
        <v>524</v>
      </c>
      <c r="K2" s="382" t="s">
        <v>522</v>
      </c>
      <c r="L2" s="384" t="s">
        <v>523</v>
      </c>
      <c r="M2" s="384" t="s">
        <v>273</v>
      </c>
      <c r="N2" s="610" t="s">
        <v>272</v>
      </c>
    </row>
    <row r="3" spans="1:14" ht="34.9" customHeight="1">
      <c r="A3" s="454" t="s">
        <v>80</v>
      </c>
      <c r="B3" s="423" t="s">
        <v>38</v>
      </c>
      <c r="C3" s="423"/>
      <c r="D3" s="423" t="s">
        <v>2</v>
      </c>
      <c r="E3" s="535" t="s">
        <v>739</v>
      </c>
      <c r="F3" s="387" t="s">
        <v>1124</v>
      </c>
      <c r="G3" s="411" t="s">
        <v>577</v>
      </c>
      <c r="H3" s="386" t="s">
        <v>655</v>
      </c>
      <c r="I3" s="389"/>
      <c r="J3" s="596"/>
      <c r="K3" s="386"/>
      <c r="L3" s="388"/>
      <c r="M3" s="386" t="s">
        <v>274</v>
      </c>
      <c r="N3" s="611"/>
    </row>
    <row r="4" spans="1:14" ht="47.25" customHeight="1">
      <c r="A4" s="454" t="s">
        <v>594</v>
      </c>
      <c r="B4" s="423" t="s">
        <v>599</v>
      </c>
      <c r="C4" s="423"/>
      <c r="D4" s="423" t="s">
        <v>210</v>
      </c>
      <c r="E4" s="535" t="s">
        <v>598</v>
      </c>
      <c r="F4" s="387" t="s">
        <v>1125</v>
      </c>
      <c r="G4" s="411" t="s">
        <v>654</v>
      </c>
      <c r="H4" s="387" t="s">
        <v>656</v>
      </c>
      <c r="I4" s="389"/>
      <c r="J4" s="596"/>
      <c r="K4" s="386"/>
      <c r="L4" s="388"/>
      <c r="M4" s="386"/>
      <c r="N4" s="611"/>
    </row>
    <row r="5" spans="1:14" ht="28.9" customHeight="1">
      <c r="A5" s="593" t="s">
        <v>832</v>
      </c>
      <c r="B5" s="739" t="s">
        <v>833</v>
      </c>
      <c r="C5" s="740"/>
      <c r="D5" s="423" t="s">
        <v>1</v>
      </c>
      <c r="E5" s="729" t="s">
        <v>834</v>
      </c>
      <c r="F5" s="730" t="s">
        <v>1126</v>
      </c>
      <c r="G5" s="735" t="s">
        <v>964</v>
      </c>
      <c r="H5" s="733"/>
      <c r="I5" s="736" t="s">
        <v>958</v>
      </c>
      <c r="J5" s="596"/>
      <c r="K5" s="386"/>
      <c r="L5" s="388"/>
      <c r="M5" s="738" t="s">
        <v>276</v>
      </c>
      <c r="N5" s="726"/>
    </row>
    <row r="6" spans="1:14" ht="28.9" customHeight="1">
      <c r="A6" s="454" t="s">
        <v>66</v>
      </c>
      <c r="B6" s="411" t="s">
        <v>66</v>
      </c>
      <c r="C6" s="531" t="s">
        <v>573</v>
      </c>
      <c r="D6" s="423" t="s">
        <v>279</v>
      </c>
      <c r="E6" s="729"/>
      <c r="F6" s="730"/>
      <c r="G6" s="735"/>
      <c r="H6" s="733"/>
      <c r="I6" s="737"/>
      <c r="J6" s="596"/>
      <c r="K6" s="386"/>
      <c r="L6" s="388"/>
      <c r="M6" s="738"/>
      <c r="N6" s="727"/>
    </row>
    <row r="7" spans="1:14" ht="37.15" customHeight="1">
      <c r="A7" s="728" t="s">
        <v>78</v>
      </c>
      <c r="B7" s="423" t="s">
        <v>566</v>
      </c>
      <c r="C7" s="426" t="s">
        <v>280</v>
      </c>
      <c r="D7" s="423" t="s">
        <v>12</v>
      </c>
      <c r="E7" s="594" t="s">
        <v>500</v>
      </c>
      <c r="F7" s="387" t="s">
        <v>1127</v>
      </c>
      <c r="G7" s="411" t="s">
        <v>624</v>
      </c>
      <c r="H7" s="386"/>
      <c r="I7" s="391"/>
      <c r="J7" s="596" t="s">
        <v>525</v>
      </c>
      <c r="K7" s="386"/>
      <c r="L7" s="386" t="s">
        <v>284</v>
      </c>
      <c r="M7" s="386" t="s">
        <v>285</v>
      </c>
      <c r="N7" s="608"/>
    </row>
    <row r="8" spans="1:14" ht="37.15" customHeight="1">
      <c r="A8" s="728"/>
      <c r="B8" s="423" t="s">
        <v>568</v>
      </c>
      <c r="C8" s="426" t="s">
        <v>286</v>
      </c>
      <c r="D8" s="423" t="s">
        <v>9</v>
      </c>
      <c r="E8" s="535" t="s">
        <v>759</v>
      </c>
      <c r="F8" s="387" t="s">
        <v>1128</v>
      </c>
      <c r="G8" s="411" t="s">
        <v>779</v>
      </c>
      <c r="H8" s="386" t="s">
        <v>778</v>
      </c>
      <c r="I8" s="391"/>
      <c r="J8" s="596"/>
      <c r="K8" s="386"/>
      <c r="L8" s="386"/>
      <c r="M8" s="386" t="s">
        <v>290</v>
      </c>
      <c r="N8" s="613"/>
    </row>
    <row r="9" spans="1:14" ht="49.9" customHeight="1">
      <c r="A9" s="728"/>
      <c r="B9" s="423" t="s">
        <v>461</v>
      </c>
      <c r="C9" s="455" t="s">
        <v>291</v>
      </c>
      <c r="D9" s="423" t="s">
        <v>292</v>
      </c>
      <c r="E9" s="535" t="s">
        <v>596</v>
      </c>
      <c r="F9" s="411" t="s">
        <v>1119</v>
      </c>
      <c r="G9" s="451" t="s">
        <v>931</v>
      </c>
      <c r="H9" s="387" t="s">
        <v>733</v>
      </c>
      <c r="I9" s="604" t="s">
        <v>1010</v>
      </c>
      <c r="J9" s="596"/>
      <c r="K9" s="386"/>
      <c r="L9" s="386"/>
      <c r="M9" s="386" t="s">
        <v>296</v>
      </c>
      <c r="N9" s="607" t="s">
        <v>1150</v>
      </c>
    </row>
    <row r="10" spans="1:14" ht="51.6" customHeight="1">
      <c r="A10" s="728"/>
      <c r="B10" s="416" t="s">
        <v>567</v>
      </c>
      <c r="C10" s="456" t="s">
        <v>298</v>
      </c>
      <c r="D10" s="457" t="s">
        <v>299</v>
      </c>
      <c r="E10" s="536" t="s">
        <v>815</v>
      </c>
      <c r="F10" s="393" t="s">
        <v>1118</v>
      </c>
      <c r="G10" s="416" t="s">
        <v>770</v>
      </c>
      <c r="H10" s="393" t="s">
        <v>771</v>
      </c>
      <c r="I10" s="605" t="s">
        <v>835</v>
      </c>
      <c r="J10" s="596"/>
      <c r="K10" s="386"/>
      <c r="L10" s="386"/>
      <c r="M10" s="386" t="s">
        <v>303</v>
      </c>
      <c r="N10" s="608"/>
    </row>
    <row r="11" spans="1:14" ht="27" customHeight="1">
      <c r="A11" s="728"/>
      <c r="B11" s="411" t="s">
        <v>304</v>
      </c>
      <c r="C11" s="426" t="s">
        <v>305</v>
      </c>
      <c r="D11" s="411" t="s">
        <v>2</v>
      </c>
      <c r="E11" s="729" t="s">
        <v>28</v>
      </c>
      <c r="F11" s="730" t="s">
        <v>1120</v>
      </c>
      <c r="G11" s="731" t="s">
        <v>307</v>
      </c>
      <c r="H11" s="730" t="s">
        <v>308</v>
      </c>
      <c r="I11" s="732" t="s">
        <v>309</v>
      </c>
      <c r="J11" s="597" t="s">
        <v>526</v>
      </c>
      <c r="K11" s="394" t="s">
        <v>311</v>
      </c>
      <c r="L11" s="394" t="s">
        <v>312</v>
      </c>
      <c r="M11" s="733" t="s">
        <v>303</v>
      </c>
      <c r="N11" s="734" t="s">
        <v>850</v>
      </c>
    </row>
    <row r="12" spans="1:14" ht="24" customHeight="1">
      <c r="A12" s="454" t="s">
        <v>77</v>
      </c>
      <c r="B12" s="741" t="s">
        <v>277</v>
      </c>
      <c r="C12" s="741"/>
      <c r="D12" s="741"/>
      <c r="E12" s="729"/>
      <c r="F12" s="730"/>
      <c r="G12" s="731"/>
      <c r="H12" s="730"/>
      <c r="I12" s="732"/>
      <c r="J12" s="597"/>
      <c r="K12" s="395"/>
      <c r="L12" s="395"/>
      <c r="M12" s="733"/>
      <c r="N12" s="734"/>
    </row>
    <row r="13" spans="1:14" ht="42" customHeight="1">
      <c r="A13" s="742" t="s">
        <v>76</v>
      </c>
      <c r="B13" s="588" t="s">
        <v>600</v>
      </c>
      <c r="C13" s="588" t="s">
        <v>601</v>
      </c>
      <c r="D13" s="588" t="s">
        <v>279</v>
      </c>
      <c r="E13" s="589" t="s">
        <v>642</v>
      </c>
      <c r="F13" s="592" t="s">
        <v>1205</v>
      </c>
      <c r="G13" s="588" t="s">
        <v>675</v>
      </c>
      <c r="H13" s="592" t="s">
        <v>1206</v>
      </c>
      <c r="I13" s="666" t="s">
        <v>660</v>
      </c>
      <c r="J13" s="597"/>
      <c r="K13" s="395"/>
      <c r="L13" s="395"/>
      <c r="M13" s="387" t="s">
        <v>319</v>
      </c>
      <c r="N13" s="608"/>
    </row>
    <row r="14" spans="1:14" ht="30" customHeight="1">
      <c r="A14" s="743"/>
      <c r="B14" s="457" t="s">
        <v>747</v>
      </c>
      <c r="C14" s="416">
        <v>504.50299999999999</v>
      </c>
      <c r="D14" s="416" t="s">
        <v>748</v>
      </c>
      <c r="E14" s="536" t="s">
        <v>815</v>
      </c>
      <c r="F14" s="421"/>
      <c r="G14" s="424"/>
      <c r="H14" s="421"/>
      <c r="I14" s="606"/>
      <c r="J14" s="597"/>
      <c r="K14" s="395"/>
      <c r="L14" s="395"/>
      <c r="M14" s="387"/>
      <c r="N14" s="608"/>
    </row>
    <row r="15" spans="1:14" ht="30" customHeight="1">
      <c r="A15" s="743"/>
      <c r="B15" s="590" t="s">
        <v>76</v>
      </c>
      <c r="C15" s="590">
        <v>502</v>
      </c>
      <c r="D15" s="590" t="s">
        <v>9</v>
      </c>
      <c r="E15" s="589" t="s">
        <v>642</v>
      </c>
      <c r="F15" s="421"/>
      <c r="G15" s="424"/>
      <c r="H15" s="421"/>
      <c r="I15" s="606"/>
      <c r="J15" s="597"/>
      <c r="K15" s="395"/>
      <c r="L15" s="395"/>
      <c r="M15" s="386" t="s">
        <v>323</v>
      </c>
      <c r="N15" s="608"/>
    </row>
    <row r="16" spans="1:14" ht="45.6" customHeight="1">
      <c r="A16" s="744"/>
      <c r="B16" s="423" t="s">
        <v>107</v>
      </c>
      <c r="C16" s="423">
        <v>501</v>
      </c>
      <c r="D16" s="423" t="s">
        <v>119</v>
      </c>
      <c r="E16" s="535" t="s">
        <v>1042</v>
      </c>
      <c r="F16" s="411" t="s">
        <v>1043</v>
      </c>
      <c r="G16" s="411" t="s">
        <v>1044</v>
      </c>
      <c r="H16" s="387" t="s">
        <v>1045</v>
      </c>
      <c r="I16" s="392" t="s">
        <v>1055</v>
      </c>
      <c r="J16" s="597"/>
      <c r="K16" s="395"/>
      <c r="L16" s="395"/>
      <c r="M16" s="386"/>
      <c r="N16" s="607"/>
    </row>
    <row r="17" spans="1:14" ht="52.5" customHeight="1">
      <c r="A17" s="454" t="s">
        <v>75</v>
      </c>
      <c r="B17" s="741" t="s">
        <v>277</v>
      </c>
      <c r="C17" s="741"/>
      <c r="D17" s="741"/>
      <c r="E17" s="537" t="s">
        <v>969</v>
      </c>
      <c r="F17" s="396" t="s">
        <v>1121</v>
      </c>
      <c r="G17" s="425" t="s">
        <v>325</v>
      </c>
      <c r="H17" s="396" t="s">
        <v>326</v>
      </c>
      <c r="I17" s="398" t="s">
        <v>327</v>
      </c>
      <c r="J17" s="596" t="s">
        <v>325</v>
      </c>
      <c r="K17" s="386" t="s">
        <v>326</v>
      </c>
      <c r="L17" s="388" t="s">
        <v>327</v>
      </c>
      <c r="M17" s="397" t="s">
        <v>328</v>
      </c>
      <c r="N17" s="614"/>
    </row>
    <row r="18" spans="1:14" ht="42.6" customHeight="1">
      <c r="A18" s="454" t="s">
        <v>966</v>
      </c>
      <c r="B18" s="739" t="s">
        <v>182</v>
      </c>
      <c r="C18" s="745"/>
      <c r="D18" s="740"/>
      <c r="E18" s="538" t="s">
        <v>971</v>
      </c>
      <c r="F18" s="386" t="s">
        <v>1122</v>
      </c>
      <c r="G18" s="411" t="s">
        <v>1040</v>
      </c>
      <c r="H18" s="396"/>
      <c r="I18" s="392" t="s">
        <v>1041</v>
      </c>
      <c r="J18" s="598"/>
      <c r="K18" s="399"/>
      <c r="L18" s="400"/>
      <c r="M18" s="401"/>
      <c r="N18" s="614"/>
    </row>
    <row r="19" spans="1:14" ht="52.5" customHeight="1">
      <c r="A19" s="454" t="s">
        <v>651</v>
      </c>
      <c r="B19" s="423" t="s">
        <v>651</v>
      </c>
      <c r="C19" s="423" t="s">
        <v>182</v>
      </c>
      <c r="D19" s="423" t="s">
        <v>653</v>
      </c>
      <c r="E19" s="538" t="s">
        <v>661</v>
      </c>
      <c r="F19" s="386" t="s">
        <v>1123</v>
      </c>
      <c r="G19" s="411" t="s">
        <v>837</v>
      </c>
      <c r="H19" s="387" t="s">
        <v>838</v>
      </c>
      <c r="I19" s="390" t="s">
        <v>839</v>
      </c>
      <c r="J19" s="596"/>
      <c r="K19" s="386"/>
      <c r="L19" s="386"/>
      <c r="M19" s="387"/>
      <c r="N19" s="612" t="s">
        <v>851</v>
      </c>
    </row>
    <row r="20" spans="1:14" ht="40.9" customHeight="1">
      <c r="A20" s="728" t="s">
        <v>72</v>
      </c>
      <c r="B20" s="423" t="s">
        <v>340</v>
      </c>
      <c r="C20" s="426" t="s">
        <v>341</v>
      </c>
      <c r="D20" s="423" t="s">
        <v>1</v>
      </c>
      <c r="E20" s="539" t="s">
        <v>31</v>
      </c>
      <c r="F20" s="388" t="s">
        <v>1117</v>
      </c>
      <c r="G20" s="426" t="s">
        <v>343</v>
      </c>
      <c r="H20" s="388" t="s">
        <v>344</v>
      </c>
      <c r="I20" s="389" t="s">
        <v>345</v>
      </c>
      <c r="J20" s="599"/>
      <c r="K20" s="386"/>
      <c r="L20" s="386"/>
      <c r="M20" s="386" t="s">
        <v>346</v>
      </c>
      <c r="N20" s="608"/>
    </row>
    <row r="21" spans="1:14" ht="43.15" customHeight="1">
      <c r="A21" s="728"/>
      <c r="B21" s="411" t="s">
        <v>1149</v>
      </c>
      <c r="C21" s="458" t="s">
        <v>348</v>
      </c>
      <c r="D21" s="423" t="s">
        <v>842</v>
      </c>
      <c r="E21" s="535" t="s">
        <v>204</v>
      </c>
      <c r="F21" s="387" t="s">
        <v>1116</v>
      </c>
      <c r="G21" s="411" t="s">
        <v>947</v>
      </c>
      <c r="H21" s="386"/>
      <c r="I21" s="391"/>
      <c r="J21" s="599"/>
      <c r="K21" s="386"/>
      <c r="L21" s="386"/>
      <c r="M21" s="387" t="s">
        <v>527</v>
      </c>
      <c r="N21" s="608"/>
    </row>
    <row r="22" spans="1:14" ht="32.450000000000003" customHeight="1">
      <c r="A22" s="728"/>
      <c r="B22" s="590" t="s">
        <v>352</v>
      </c>
      <c r="C22" s="591" t="s">
        <v>353</v>
      </c>
      <c r="D22" s="590" t="s">
        <v>10</v>
      </c>
      <c r="E22" s="589" t="s">
        <v>642</v>
      </c>
      <c r="F22" s="421"/>
      <c r="G22" s="424"/>
      <c r="H22" s="421"/>
      <c r="I22" s="606"/>
      <c r="J22" s="599"/>
      <c r="K22" s="386"/>
      <c r="L22" s="386"/>
      <c r="M22" s="386"/>
      <c r="N22" s="607"/>
    </row>
    <row r="23" spans="1:14" ht="38.450000000000003" customHeight="1">
      <c r="A23" s="728"/>
      <c r="B23" s="659" t="s">
        <v>72</v>
      </c>
      <c r="C23" s="660" t="s">
        <v>480</v>
      </c>
      <c r="D23" s="659" t="s">
        <v>9</v>
      </c>
      <c r="E23" s="661" t="s">
        <v>1169</v>
      </c>
      <c r="F23" s="387" t="s">
        <v>1170</v>
      </c>
      <c r="G23" s="411" t="s">
        <v>1070</v>
      </c>
      <c r="H23" s="386"/>
      <c r="I23" s="607"/>
      <c r="J23" s="599"/>
      <c r="K23" s="386"/>
      <c r="L23" s="386"/>
      <c r="M23" s="386"/>
      <c r="N23" s="613"/>
    </row>
    <row r="24" spans="1:14" ht="47.25" customHeight="1">
      <c r="A24" s="728"/>
      <c r="B24" s="423" t="s">
        <v>72</v>
      </c>
      <c r="C24" s="426" t="s">
        <v>361</v>
      </c>
      <c r="D24" s="423" t="s">
        <v>12</v>
      </c>
      <c r="E24" s="535" t="s">
        <v>687</v>
      </c>
      <c r="F24" s="387" t="s">
        <v>1115</v>
      </c>
      <c r="G24" s="411" t="s">
        <v>356</v>
      </c>
      <c r="H24" s="387" t="s">
        <v>357</v>
      </c>
      <c r="I24" s="392" t="s">
        <v>358</v>
      </c>
      <c r="J24" s="599"/>
      <c r="K24" s="386"/>
      <c r="L24" s="386"/>
      <c r="M24" s="386" t="s">
        <v>360</v>
      </c>
      <c r="N24" s="607" t="s">
        <v>359</v>
      </c>
    </row>
    <row r="25" spans="1:14" ht="47.25" hidden="1" customHeight="1">
      <c r="A25" s="728"/>
      <c r="B25" s="423" t="s">
        <v>72</v>
      </c>
      <c r="C25" s="426" t="s">
        <v>361</v>
      </c>
      <c r="D25" s="423" t="s">
        <v>12</v>
      </c>
      <c r="E25" s="535" t="s">
        <v>574</v>
      </c>
      <c r="F25" s="387" t="s">
        <v>363</v>
      </c>
      <c r="G25" s="411" t="s">
        <v>364</v>
      </c>
      <c r="H25" s="386"/>
      <c r="I25" s="391" t="s">
        <v>365</v>
      </c>
      <c r="J25" s="599"/>
      <c r="K25" s="386"/>
      <c r="L25" s="386"/>
      <c r="M25" s="386" t="s">
        <v>360</v>
      </c>
      <c r="N25" s="607" t="s">
        <v>359</v>
      </c>
    </row>
    <row r="26" spans="1:14" ht="45.6" customHeight="1">
      <c r="A26" s="728" t="s">
        <v>71</v>
      </c>
      <c r="B26" s="411" t="s">
        <v>899</v>
      </c>
      <c r="C26" s="458" t="s">
        <v>900</v>
      </c>
      <c r="D26" s="423" t="s">
        <v>1</v>
      </c>
      <c r="E26" s="535" t="s">
        <v>368</v>
      </c>
      <c r="F26" s="451" t="s">
        <v>1093</v>
      </c>
      <c r="G26" s="411" t="s">
        <v>562</v>
      </c>
      <c r="H26" s="386" t="s">
        <v>563</v>
      </c>
      <c r="I26" s="392" t="s">
        <v>623</v>
      </c>
      <c r="J26" s="599"/>
      <c r="K26" s="386"/>
      <c r="L26" s="386"/>
      <c r="M26" s="386" t="s">
        <v>370</v>
      </c>
      <c r="N26" s="608"/>
    </row>
    <row r="27" spans="1:14" ht="42" customHeight="1">
      <c r="A27" s="728"/>
      <c r="B27" s="411" t="s">
        <v>898</v>
      </c>
      <c r="C27" s="458" t="s">
        <v>897</v>
      </c>
      <c r="D27" s="423" t="s">
        <v>210</v>
      </c>
      <c r="E27" s="535" t="s">
        <v>939</v>
      </c>
      <c r="F27" s="387"/>
      <c r="G27" s="411" t="s">
        <v>1179</v>
      </c>
      <c r="H27" s="386"/>
      <c r="I27" s="392" t="s">
        <v>1178</v>
      </c>
      <c r="J27" s="599"/>
      <c r="K27" s="386"/>
      <c r="L27" s="386"/>
      <c r="M27" s="386"/>
      <c r="N27" s="608"/>
    </row>
    <row r="28" spans="1:14" ht="45.6" customHeight="1">
      <c r="A28" s="728"/>
      <c r="B28" s="411" t="s">
        <v>371</v>
      </c>
      <c r="C28" s="458" t="s">
        <v>372</v>
      </c>
      <c r="D28" s="423" t="s">
        <v>2</v>
      </c>
      <c r="E28" s="535" t="s">
        <v>951</v>
      </c>
      <c r="F28" s="387" t="s">
        <v>1112</v>
      </c>
      <c r="G28" s="451" t="s">
        <v>997</v>
      </c>
      <c r="H28" s="386"/>
      <c r="I28" s="392" t="s">
        <v>998</v>
      </c>
      <c r="J28" s="599"/>
      <c r="K28" s="386"/>
      <c r="L28" s="386"/>
      <c r="M28" s="386" t="s">
        <v>373</v>
      </c>
      <c r="N28" s="607" t="s">
        <v>1151</v>
      </c>
    </row>
    <row r="29" spans="1:14" ht="25.15" customHeight="1">
      <c r="A29" s="728"/>
      <c r="B29" s="427" t="s">
        <v>672</v>
      </c>
      <c r="C29" s="459" t="s">
        <v>780</v>
      </c>
      <c r="D29" s="460" t="s">
        <v>11</v>
      </c>
      <c r="E29" s="540" t="s">
        <v>848</v>
      </c>
      <c r="F29" s="421"/>
      <c r="G29" s="424"/>
      <c r="H29" s="421"/>
      <c r="I29" s="606"/>
      <c r="J29" s="600"/>
      <c r="K29" s="404"/>
      <c r="L29" s="404"/>
      <c r="M29" s="404"/>
      <c r="N29" s="607"/>
    </row>
    <row r="30" spans="1:14" ht="38.450000000000003" customHeight="1">
      <c r="A30" s="728"/>
      <c r="B30" s="428" t="s">
        <v>374</v>
      </c>
      <c r="C30" s="461">
        <v>1003</v>
      </c>
      <c r="D30" s="462" t="s">
        <v>10</v>
      </c>
      <c r="E30" s="541" t="s">
        <v>375</v>
      </c>
      <c r="F30" s="405" t="s">
        <v>1114</v>
      </c>
      <c r="G30" s="428" t="s">
        <v>377</v>
      </c>
      <c r="H30" s="406" t="s">
        <v>1021</v>
      </c>
      <c r="I30" s="407"/>
      <c r="J30" s="601"/>
      <c r="K30" s="406"/>
      <c r="L30" s="406"/>
      <c r="M30" s="405" t="s">
        <v>528</v>
      </c>
      <c r="N30" s="615" t="s">
        <v>978</v>
      </c>
    </row>
    <row r="31" spans="1:14" ht="45.6" customHeight="1">
      <c r="A31" s="728"/>
      <c r="B31" s="455" t="s">
        <v>71</v>
      </c>
      <c r="C31" s="458">
        <v>1002</v>
      </c>
      <c r="D31" s="423" t="s">
        <v>9</v>
      </c>
      <c r="E31" s="535" t="s">
        <v>161</v>
      </c>
      <c r="F31" s="387" t="s">
        <v>1113</v>
      </c>
      <c r="G31" s="411" t="s">
        <v>1192</v>
      </c>
      <c r="H31" s="387" t="s">
        <v>979</v>
      </c>
      <c r="I31" s="391" t="s">
        <v>796</v>
      </c>
      <c r="J31" s="599"/>
      <c r="K31" s="386"/>
      <c r="L31" s="386"/>
      <c r="M31" s="386" t="s">
        <v>384</v>
      </c>
      <c r="N31" s="608" t="s">
        <v>383</v>
      </c>
    </row>
    <row r="32" spans="1:14" ht="45.6" customHeight="1">
      <c r="A32" s="728"/>
      <c r="B32" s="455" t="s">
        <v>71</v>
      </c>
      <c r="C32" s="458">
        <v>1001</v>
      </c>
      <c r="D32" s="423" t="s">
        <v>12</v>
      </c>
      <c r="E32" s="535" t="s">
        <v>385</v>
      </c>
      <c r="F32" s="387" t="s">
        <v>1099</v>
      </c>
      <c r="G32" s="411" t="s">
        <v>1197</v>
      </c>
      <c r="H32" s="386" t="s">
        <v>1193</v>
      </c>
      <c r="I32" s="392"/>
      <c r="J32" s="599"/>
      <c r="K32" s="386"/>
      <c r="L32" s="386"/>
      <c r="M32" s="386" t="s">
        <v>390</v>
      </c>
      <c r="N32" s="607" t="s">
        <v>846</v>
      </c>
    </row>
    <row r="33" spans="1:23" ht="46.9" customHeight="1">
      <c r="A33" s="728" t="s">
        <v>70</v>
      </c>
      <c r="B33" s="411" t="s">
        <v>391</v>
      </c>
      <c r="C33" s="411" t="s">
        <v>392</v>
      </c>
      <c r="D33" s="423" t="s">
        <v>313</v>
      </c>
      <c r="E33" s="535" t="s">
        <v>393</v>
      </c>
      <c r="F33" s="387" t="s">
        <v>1098</v>
      </c>
      <c r="G33" s="411" t="s">
        <v>1162</v>
      </c>
      <c r="H33" s="387" t="s">
        <v>933</v>
      </c>
      <c r="I33" s="392" t="s">
        <v>853</v>
      </c>
      <c r="J33" s="599"/>
      <c r="K33" s="386"/>
      <c r="L33" s="386"/>
      <c r="M33" s="386" t="s">
        <v>397</v>
      </c>
      <c r="N33" s="608" t="s">
        <v>1081</v>
      </c>
    </row>
    <row r="34" spans="1:23" ht="28.15" customHeight="1">
      <c r="A34" s="728"/>
      <c r="B34" s="427" t="s">
        <v>398</v>
      </c>
      <c r="C34" s="427">
        <v>1103</v>
      </c>
      <c r="D34" s="460" t="s">
        <v>10</v>
      </c>
      <c r="E34" s="540" t="s">
        <v>848</v>
      </c>
      <c r="F34" s="421"/>
      <c r="G34" s="424"/>
      <c r="H34" s="421"/>
      <c r="I34" s="606"/>
      <c r="J34" s="599"/>
      <c r="K34" s="386"/>
      <c r="L34" s="386"/>
      <c r="M34" s="386" t="s">
        <v>399</v>
      </c>
      <c r="N34" s="607"/>
    </row>
    <row r="35" spans="1:23" ht="54" customHeight="1">
      <c r="A35" s="728"/>
      <c r="B35" s="411" t="s">
        <v>70</v>
      </c>
      <c r="C35" s="411">
        <v>1102</v>
      </c>
      <c r="D35" s="423" t="s">
        <v>9</v>
      </c>
      <c r="E35" s="535" t="s">
        <v>990</v>
      </c>
      <c r="F35" s="386" t="s">
        <v>1096</v>
      </c>
      <c r="G35" s="451" t="s">
        <v>1071</v>
      </c>
      <c r="H35" s="387" t="s">
        <v>1072</v>
      </c>
      <c r="I35" s="392" t="s">
        <v>1038</v>
      </c>
      <c r="J35" s="599"/>
      <c r="K35" s="386"/>
      <c r="L35" s="386"/>
      <c r="M35" s="386"/>
      <c r="N35" s="608"/>
    </row>
    <row r="36" spans="1:23" ht="52.9" customHeight="1">
      <c r="A36" s="728"/>
      <c r="B36" s="424" t="s">
        <v>70</v>
      </c>
      <c r="C36" s="424">
        <v>1101</v>
      </c>
      <c r="D36" s="463" t="s">
        <v>12</v>
      </c>
      <c r="E36" s="882" t="s">
        <v>1132</v>
      </c>
      <c r="F36" s="421"/>
      <c r="G36" s="424" t="s">
        <v>1194</v>
      </c>
      <c r="H36" s="422"/>
      <c r="I36" s="606" t="s">
        <v>1195</v>
      </c>
      <c r="J36" s="599"/>
      <c r="K36" s="386"/>
      <c r="L36" s="386"/>
      <c r="M36" s="386" t="s">
        <v>407</v>
      </c>
      <c r="N36" s="616"/>
      <c r="Q36" s="418"/>
      <c r="R36" s="418"/>
      <c r="S36" s="418"/>
      <c r="T36" s="418"/>
      <c r="U36" s="419"/>
      <c r="V36" s="419"/>
      <c r="W36" s="419"/>
    </row>
    <row r="37" spans="1:23" ht="47.25" customHeight="1">
      <c r="A37" s="454" t="s">
        <v>69</v>
      </c>
      <c r="B37" s="741" t="s">
        <v>277</v>
      </c>
      <c r="C37" s="741"/>
      <c r="D37" s="741"/>
      <c r="E37" s="535" t="s">
        <v>976</v>
      </c>
      <c r="F37" s="386" t="s">
        <v>1095</v>
      </c>
      <c r="G37" s="411" t="s">
        <v>329</v>
      </c>
      <c r="H37" s="386" t="s">
        <v>330</v>
      </c>
      <c r="I37" s="391" t="s">
        <v>331</v>
      </c>
      <c r="J37" s="599"/>
      <c r="K37" s="386"/>
      <c r="L37" s="386"/>
      <c r="M37" s="387" t="s">
        <v>530</v>
      </c>
      <c r="N37" s="612" t="s">
        <v>1082</v>
      </c>
    </row>
    <row r="38" spans="1:23" ht="47.25" customHeight="1">
      <c r="A38" s="742" t="s">
        <v>68</v>
      </c>
      <c r="B38" s="411" t="s">
        <v>981</v>
      </c>
      <c r="C38" s="411" t="s">
        <v>983</v>
      </c>
      <c r="D38" s="411" t="s">
        <v>299</v>
      </c>
      <c r="E38" s="535" t="s">
        <v>996</v>
      </c>
      <c r="F38" s="386" t="s">
        <v>1100</v>
      </c>
      <c r="G38" s="411" t="s">
        <v>1023</v>
      </c>
      <c r="H38" s="386" t="s">
        <v>1022</v>
      </c>
      <c r="I38" s="392"/>
      <c r="J38" s="599"/>
      <c r="K38" s="386"/>
      <c r="L38" s="386"/>
      <c r="M38" s="387" t="s">
        <v>410</v>
      </c>
      <c r="N38" s="611"/>
    </row>
    <row r="39" spans="1:23" ht="47.25" customHeight="1">
      <c r="A39" s="743"/>
      <c r="B39" s="423" t="s">
        <v>982</v>
      </c>
      <c r="C39" s="411">
        <v>1305</v>
      </c>
      <c r="D39" s="411" t="s">
        <v>101</v>
      </c>
      <c r="E39" s="535" t="s">
        <v>690</v>
      </c>
      <c r="F39" s="387" t="s">
        <v>1101</v>
      </c>
      <c r="G39" s="411" t="s">
        <v>695</v>
      </c>
      <c r="H39" s="387" t="s">
        <v>1080</v>
      </c>
      <c r="I39" s="607" t="s">
        <v>696</v>
      </c>
      <c r="J39" s="597"/>
      <c r="K39" s="395"/>
      <c r="L39" s="395"/>
      <c r="M39" s="386"/>
      <c r="N39" s="607" t="s">
        <v>697</v>
      </c>
    </row>
    <row r="40" spans="1:23" ht="47.25" customHeight="1">
      <c r="A40" s="743"/>
      <c r="B40" s="423" t="s">
        <v>411</v>
      </c>
      <c r="C40" s="411" t="s">
        <v>412</v>
      </c>
      <c r="D40" s="423" t="s">
        <v>292</v>
      </c>
      <c r="E40" s="538" t="s">
        <v>189</v>
      </c>
      <c r="F40" s="386" t="s">
        <v>1102</v>
      </c>
      <c r="G40" s="411" t="s">
        <v>550</v>
      </c>
      <c r="H40" s="386"/>
      <c r="I40" s="391" t="s">
        <v>841</v>
      </c>
      <c r="J40" s="599"/>
      <c r="K40" s="386"/>
      <c r="L40" s="386"/>
      <c r="M40" s="386" t="s">
        <v>414</v>
      </c>
      <c r="N40" s="607" t="s">
        <v>1079</v>
      </c>
    </row>
    <row r="41" spans="1:23" ht="38.450000000000003" customHeight="1">
      <c r="A41" s="743"/>
      <c r="B41" s="423" t="s">
        <v>68</v>
      </c>
      <c r="C41" s="411">
        <v>1302</v>
      </c>
      <c r="D41" s="423" t="s">
        <v>9</v>
      </c>
      <c r="E41" s="538" t="s">
        <v>1066</v>
      </c>
      <c r="F41" s="386" t="s">
        <v>1103</v>
      </c>
      <c r="G41" s="411" t="s">
        <v>1062</v>
      </c>
      <c r="H41" s="386" t="s">
        <v>1067</v>
      </c>
      <c r="I41" s="391" t="s">
        <v>1084</v>
      </c>
      <c r="J41" s="599"/>
      <c r="K41" s="386"/>
      <c r="L41" s="386"/>
      <c r="M41" s="386" t="s">
        <v>419</v>
      </c>
      <c r="N41" s="611" t="s">
        <v>1089</v>
      </c>
    </row>
    <row r="42" spans="1:23" ht="38.450000000000003" customHeight="1">
      <c r="A42" s="744"/>
      <c r="B42" s="423" t="s">
        <v>194</v>
      </c>
      <c r="C42" s="411">
        <v>1301</v>
      </c>
      <c r="D42" s="423" t="s">
        <v>119</v>
      </c>
      <c r="E42" s="538" t="s">
        <v>993</v>
      </c>
      <c r="F42" s="386" t="s">
        <v>1104</v>
      </c>
      <c r="G42" s="411" t="s">
        <v>999</v>
      </c>
      <c r="H42" s="386" t="s">
        <v>1011</v>
      </c>
      <c r="I42" s="391"/>
      <c r="J42" s="599"/>
      <c r="K42" s="386"/>
      <c r="L42" s="386"/>
      <c r="M42" s="386"/>
      <c r="N42" s="611"/>
    </row>
    <row r="43" spans="1:23" ht="52.9" customHeight="1">
      <c r="A43" s="742" t="s">
        <v>186</v>
      </c>
      <c r="B43" s="411" t="s">
        <v>1130</v>
      </c>
      <c r="C43" s="411" t="s">
        <v>798</v>
      </c>
      <c r="D43" s="423" t="s">
        <v>192</v>
      </c>
      <c r="E43" s="538" t="s">
        <v>663</v>
      </c>
      <c r="F43" s="386" t="s">
        <v>1105</v>
      </c>
      <c r="G43" s="411" t="s">
        <v>1201</v>
      </c>
      <c r="H43" s="386" t="s">
        <v>743</v>
      </c>
      <c r="I43" s="391"/>
      <c r="J43" s="599"/>
      <c r="K43" s="386"/>
      <c r="L43" s="386"/>
      <c r="M43" s="386"/>
      <c r="N43" s="612" t="s">
        <v>948</v>
      </c>
    </row>
    <row r="44" spans="1:23" ht="41.45" customHeight="1">
      <c r="A44" s="743"/>
      <c r="B44" s="411" t="s">
        <v>745</v>
      </c>
      <c r="C44" s="411">
        <v>1404</v>
      </c>
      <c r="D44" s="423" t="s">
        <v>744</v>
      </c>
      <c r="E44" s="538" t="s">
        <v>901</v>
      </c>
      <c r="F44" s="386"/>
      <c r="G44" s="411" t="s">
        <v>902</v>
      </c>
      <c r="H44" s="386"/>
      <c r="I44" s="608" t="s">
        <v>755</v>
      </c>
      <c r="J44" s="599"/>
      <c r="K44" s="386"/>
      <c r="L44" s="386"/>
      <c r="M44" s="386"/>
      <c r="N44" s="612"/>
    </row>
    <row r="45" spans="1:23" ht="41.45" customHeight="1">
      <c r="A45" s="743"/>
      <c r="B45" s="411" t="s">
        <v>740</v>
      </c>
      <c r="C45" s="411">
        <v>1403</v>
      </c>
      <c r="D45" s="423" t="s">
        <v>121</v>
      </c>
      <c r="E45" s="538" t="s">
        <v>761</v>
      </c>
      <c r="F45" s="386" t="s">
        <v>1106</v>
      </c>
      <c r="G45" s="411" t="s">
        <v>871</v>
      </c>
      <c r="H45" s="386"/>
      <c r="I45" s="608" t="s">
        <v>742</v>
      </c>
      <c r="J45" s="599"/>
      <c r="K45" s="386"/>
      <c r="L45" s="386"/>
      <c r="M45" s="386"/>
      <c r="N45" s="611"/>
    </row>
    <row r="46" spans="1:23" ht="47.45" customHeight="1">
      <c r="A46" s="743"/>
      <c r="B46" s="758" t="s">
        <v>186</v>
      </c>
      <c r="C46" s="411">
        <v>1402</v>
      </c>
      <c r="D46" s="411" t="s">
        <v>1168</v>
      </c>
      <c r="E46" s="535" t="s">
        <v>561</v>
      </c>
      <c r="F46" s="387" t="s">
        <v>541</v>
      </c>
      <c r="G46" s="411" t="s">
        <v>636</v>
      </c>
      <c r="H46" s="533" t="s">
        <v>1131</v>
      </c>
      <c r="I46" s="392" t="s">
        <v>637</v>
      </c>
      <c r="J46" s="599"/>
      <c r="K46" s="386"/>
      <c r="L46" s="386"/>
      <c r="M46" s="386"/>
      <c r="N46" s="611"/>
    </row>
    <row r="47" spans="1:23" ht="48.6" customHeight="1">
      <c r="A47" s="743"/>
      <c r="B47" s="759"/>
      <c r="C47" s="663">
        <v>1401</v>
      </c>
      <c r="D47" s="663" t="s">
        <v>1167</v>
      </c>
      <c r="E47" s="669" t="s">
        <v>1153</v>
      </c>
      <c r="F47" s="662" t="s">
        <v>1107</v>
      </c>
      <c r="G47" s="663" t="s">
        <v>1069</v>
      </c>
      <c r="H47" s="664"/>
      <c r="I47" s="665" t="s">
        <v>844</v>
      </c>
      <c r="J47" s="599"/>
      <c r="K47" s="386"/>
      <c r="L47" s="386"/>
      <c r="M47" s="386"/>
      <c r="N47" s="611"/>
    </row>
    <row r="48" spans="1:23" ht="36.6" customHeight="1">
      <c r="A48" s="454" t="s">
        <v>66</v>
      </c>
      <c r="B48" s="411" t="s">
        <v>420</v>
      </c>
      <c r="C48" s="411">
        <v>1501</v>
      </c>
      <c r="D48" s="411" t="s">
        <v>7</v>
      </c>
      <c r="E48" s="535" t="s">
        <v>421</v>
      </c>
      <c r="F48" s="387" t="s">
        <v>1108</v>
      </c>
      <c r="G48" s="411" t="s">
        <v>423</v>
      </c>
      <c r="H48" s="386"/>
      <c r="I48" s="608" t="s">
        <v>734</v>
      </c>
      <c r="J48" s="599"/>
      <c r="K48" s="386"/>
      <c r="L48" s="386"/>
      <c r="M48" s="387" t="s">
        <v>425</v>
      </c>
      <c r="N48" s="608"/>
    </row>
    <row r="49" spans="1:14" ht="47.25" customHeight="1">
      <c r="A49" s="454" t="s">
        <v>6</v>
      </c>
      <c r="B49" s="411" t="s">
        <v>426</v>
      </c>
      <c r="C49" s="455" t="s">
        <v>572</v>
      </c>
      <c r="D49" s="411" t="s">
        <v>1148</v>
      </c>
      <c r="E49" s="535" t="s">
        <v>429</v>
      </c>
      <c r="F49" s="386" t="s">
        <v>1109</v>
      </c>
      <c r="G49" s="411" t="s">
        <v>1083</v>
      </c>
      <c r="H49" s="386"/>
      <c r="I49" s="392"/>
      <c r="J49" s="599"/>
      <c r="K49" s="386"/>
      <c r="L49" s="386"/>
      <c r="M49" s="386" t="s">
        <v>434</v>
      </c>
      <c r="N49" s="612" t="s">
        <v>840</v>
      </c>
    </row>
    <row r="50" spans="1:14" ht="39" customHeight="1">
      <c r="A50" s="876" t="s">
        <v>65</v>
      </c>
      <c r="B50" s="877" t="s">
        <v>277</v>
      </c>
      <c r="C50" s="877"/>
      <c r="D50" s="877"/>
      <c r="E50" s="878" t="s">
        <v>33</v>
      </c>
      <c r="F50" s="879" t="s">
        <v>1111</v>
      </c>
      <c r="G50" s="880" t="s">
        <v>1142</v>
      </c>
      <c r="H50" s="879" t="s">
        <v>1164</v>
      </c>
      <c r="I50" s="881" t="s">
        <v>1139</v>
      </c>
      <c r="J50" s="596" t="s">
        <v>436</v>
      </c>
      <c r="K50" s="386" t="s">
        <v>437</v>
      </c>
      <c r="L50" s="386" t="s">
        <v>438</v>
      </c>
      <c r="M50" s="386"/>
      <c r="N50" s="607"/>
    </row>
    <row r="51" spans="1:14" ht="39" customHeight="1">
      <c r="A51" s="876" t="s">
        <v>64</v>
      </c>
      <c r="B51" s="877" t="s">
        <v>277</v>
      </c>
      <c r="C51" s="877"/>
      <c r="D51" s="877"/>
      <c r="E51" s="878" t="s">
        <v>33</v>
      </c>
      <c r="F51" s="879" t="s">
        <v>1111</v>
      </c>
      <c r="G51" s="880" t="s">
        <v>1207</v>
      </c>
      <c r="H51" s="879" t="s">
        <v>1208</v>
      </c>
      <c r="I51" s="881"/>
      <c r="J51" s="596"/>
      <c r="K51" s="386"/>
      <c r="L51" s="386"/>
      <c r="M51" s="386"/>
      <c r="N51" s="607"/>
    </row>
    <row r="52" spans="1:14" ht="47.25" customHeight="1">
      <c r="A52" s="464" t="s">
        <v>63</v>
      </c>
      <c r="B52" s="764" t="s">
        <v>277</v>
      </c>
      <c r="C52" s="764"/>
      <c r="D52" s="764"/>
      <c r="E52" s="542" t="s">
        <v>848</v>
      </c>
      <c r="F52" s="403" t="s">
        <v>1097</v>
      </c>
      <c r="G52" s="427" t="s">
        <v>882</v>
      </c>
      <c r="H52" s="402" t="s">
        <v>880</v>
      </c>
      <c r="I52" s="609" t="s">
        <v>881</v>
      </c>
      <c r="J52" s="602"/>
      <c r="K52" s="403"/>
      <c r="L52" s="403"/>
      <c r="M52" s="403"/>
      <c r="N52" s="607" t="s">
        <v>883</v>
      </c>
    </row>
    <row r="53" spans="1:14" ht="39" customHeight="1" thickBot="1">
      <c r="A53" s="465" t="s">
        <v>903</v>
      </c>
      <c r="B53" s="763" t="s">
        <v>182</v>
      </c>
      <c r="C53" s="763"/>
      <c r="D53" s="763"/>
      <c r="E53" s="883" t="s">
        <v>935</v>
      </c>
      <c r="F53" s="408" t="s">
        <v>1110</v>
      </c>
      <c r="G53" s="429" t="s">
        <v>1165</v>
      </c>
      <c r="H53" s="409"/>
      <c r="I53" s="410" t="s">
        <v>1166</v>
      </c>
      <c r="J53" s="603"/>
      <c r="K53" s="408"/>
      <c r="L53" s="408"/>
      <c r="M53" s="408"/>
      <c r="N53" s="617"/>
    </row>
    <row r="54" spans="1:14" ht="47.25" customHeight="1">
      <c r="G54" s="417"/>
      <c r="K54" s="171"/>
      <c r="N54" s="417"/>
    </row>
    <row r="55" spans="1:14" ht="47.25" customHeight="1">
      <c r="G55" s="417"/>
      <c r="K55" s="171"/>
      <c r="N55" s="417"/>
    </row>
    <row r="56" spans="1:14" ht="47.25" customHeight="1">
      <c r="G56" s="417"/>
      <c r="K56" s="171"/>
      <c r="N56" s="417"/>
    </row>
    <row r="57" spans="1:14" ht="47.25" customHeight="1">
      <c r="G57" s="417"/>
      <c r="K57" s="171"/>
      <c r="N57" s="417"/>
    </row>
    <row r="58" spans="1:14" ht="47.25" customHeight="1">
      <c r="G58" s="417"/>
      <c r="K58" s="171"/>
      <c r="N58" s="417"/>
    </row>
    <row r="59" spans="1:14" ht="47.25" customHeight="1">
      <c r="G59" s="417"/>
      <c r="K59" s="171"/>
      <c r="N59" s="417"/>
    </row>
    <row r="60" spans="1:14" ht="47.25" customHeight="1">
      <c r="G60" s="417"/>
      <c r="K60" s="171"/>
      <c r="N60" s="417"/>
    </row>
    <row r="61" spans="1:14" ht="47.25" customHeight="1">
      <c r="G61" s="417"/>
      <c r="K61" s="171"/>
      <c r="N61" s="417"/>
    </row>
    <row r="62" spans="1:14" ht="47.25" customHeight="1">
      <c r="G62" s="417"/>
      <c r="K62" s="171"/>
      <c r="N62" s="417"/>
    </row>
    <row r="63" spans="1:14" ht="47.25" customHeight="1">
      <c r="G63" s="417"/>
      <c r="K63" s="171"/>
      <c r="N63" s="417"/>
    </row>
    <row r="64" spans="1:14" ht="47.25" customHeight="1">
      <c r="G64" s="417"/>
      <c r="K64" s="171"/>
      <c r="N64" s="417"/>
    </row>
    <row r="65" spans="1:14" ht="47.25" customHeight="1">
      <c r="D65" s="430" t="s">
        <v>453</v>
      </c>
      <c r="E65" s="543" t="s">
        <v>454</v>
      </c>
      <c r="M65" s="170" t="s">
        <v>455</v>
      </c>
    </row>
    <row r="66" spans="1:14" ht="47.25" customHeight="1">
      <c r="D66" s="430" t="s">
        <v>456</v>
      </c>
      <c r="E66" s="543" t="s">
        <v>454</v>
      </c>
      <c r="M66" s="170" t="s">
        <v>532</v>
      </c>
    </row>
    <row r="67" spans="1:14" ht="47.25" customHeight="1">
      <c r="D67" s="430" t="s">
        <v>457</v>
      </c>
      <c r="E67" s="543" t="s">
        <v>458</v>
      </c>
      <c r="M67" s="170" t="s">
        <v>459</v>
      </c>
    </row>
    <row r="68" spans="1:14" ht="47.25" customHeight="1" thickBot="1"/>
    <row r="69" spans="1:14" ht="47.25" customHeight="1" thickBot="1">
      <c r="A69" s="746" t="s">
        <v>63</v>
      </c>
      <c r="B69" s="748" t="s">
        <v>277</v>
      </c>
      <c r="C69" s="749"/>
      <c r="D69" s="750"/>
      <c r="E69" s="754" t="s">
        <v>444</v>
      </c>
      <c r="F69" s="756" t="s">
        <v>445</v>
      </c>
      <c r="G69" s="431" t="s">
        <v>446</v>
      </c>
      <c r="H69" s="172" t="s">
        <v>447</v>
      </c>
      <c r="I69" s="172"/>
      <c r="J69" s="173"/>
      <c r="K69" s="174"/>
      <c r="L69" s="174"/>
      <c r="N69" s="618"/>
    </row>
    <row r="70" spans="1:14" ht="47.25" customHeight="1" thickBot="1">
      <c r="A70" s="747"/>
      <c r="B70" s="751"/>
      <c r="C70" s="752"/>
      <c r="D70" s="753"/>
      <c r="E70" s="755"/>
      <c r="F70" s="757"/>
      <c r="G70" s="431" t="s">
        <v>448</v>
      </c>
      <c r="H70" s="172" t="s">
        <v>449</v>
      </c>
      <c r="I70" s="172" t="s">
        <v>450</v>
      </c>
      <c r="J70" s="175" t="s">
        <v>451</v>
      </c>
      <c r="K70" s="176" t="s">
        <v>531</v>
      </c>
      <c r="L70" s="174" t="s">
        <v>452</v>
      </c>
      <c r="M70" s="170" t="s">
        <v>460</v>
      </c>
      <c r="N70" s="619"/>
    </row>
    <row r="71" spans="1:14" ht="47.25" customHeight="1" thickBot="1"/>
    <row r="72" spans="1:14" ht="47.25" customHeight="1" thickBot="1">
      <c r="A72" s="466" t="s">
        <v>37</v>
      </c>
      <c r="B72" s="467" t="s">
        <v>269</v>
      </c>
      <c r="C72" s="467" t="s">
        <v>270</v>
      </c>
      <c r="D72" s="467" t="s">
        <v>271</v>
      </c>
      <c r="E72" s="544" t="s">
        <v>519</v>
      </c>
      <c r="F72" s="216" t="s">
        <v>520</v>
      </c>
      <c r="G72" s="432" t="s">
        <v>521</v>
      </c>
      <c r="H72" s="177" t="s">
        <v>522</v>
      </c>
      <c r="I72" s="178" t="s">
        <v>523</v>
      </c>
      <c r="N72" s="620" t="s">
        <v>272</v>
      </c>
    </row>
    <row r="73" spans="1:14" ht="47.25" customHeight="1" thickBot="1">
      <c r="A73" s="468" t="s">
        <v>80</v>
      </c>
      <c r="B73" s="469" t="s">
        <v>46</v>
      </c>
      <c r="C73" s="470"/>
      <c r="D73" s="471" t="s">
        <v>1</v>
      </c>
      <c r="E73" s="793" t="s">
        <v>8</v>
      </c>
      <c r="F73" s="796" t="s">
        <v>275</v>
      </c>
      <c r="G73" s="770"/>
      <c r="H73" s="773"/>
      <c r="I73" s="776"/>
      <c r="N73" s="760"/>
    </row>
    <row r="74" spans="1:14" ht="47.25" customHeight="1" thickBot="1">
      <c r="A74" s="472" t="s">
        <v>79</v>
      </c>
      <c r="B74" s="779" t="s">
        <v>277</v>
      </c>
      <c r="C74" s="780"/>
      <c r="D74" s="781"/>
      <c r="E74" s="794"/>
      <c r="F74" s="698"/>
      <c r="G74" s="771"/>
      <c r="H74" s="774"/>
      <c r="I74" s="777"/>
      <c r="N74" s="761"/>
    </row>
    <row r="75" spans="1:14" ht="47.25" customHeight="1" thickBot="1">
      <c r="A75" s="472" t="s">
        <v>66</v>
      </c>
      <c r="B75" s="473" t="s">
        <v>66</v>
      </c>
      <c r="C75" s="474" t="s">
        <v>278</v>
      </c>
      <c r="D75" s="475" t="s">
        <v>279</v>
      </c>
      <c r="E75" s="795"/>
      <c r="F75" s="797"/>
      <c r="G75" s="772"/>
      <c r="H75" s="775"/>
      <c r="I75" s="778"/>
      <c r="N75" s="762"/>
    </row>
    <row r="76" spans="1:14" ht="47.25" customHeight="1">
      <c r="A76" s="782" t="s">
        <v>78</v>
      </c>
      <c r="B76" s="476" t="s">
        <v>78</v>
      </c>
      <c r="C76" s="477" t="s">
        <v>280</v>
      </c>
      <c r="D76" s="478" t="s">
        <v>12</v>
      </c>
      <c r="E76" s="545" t="s">
        <v>27</v>
      </c>
      <c r="F76" s="55" t="s">
        <v>281</v>
      </c>
      <c r="G76" s="433" t="s">
        <v>525</v>
      </c>
      <c r="H76" s="179"/>
      <c r="I76" s="180" t="s">
        <v>284</v>
      </c>
      <c r="N76" s="621"/>
    </row>
    <row r="77" spans="1:14" ht="47.25" customHeight="1">
      <c r="A77" s="783"/>
      <c r="B77" s="479" t="s">
        <v>461</v>
      </c>
      <c r="C77" s="480" t="s">
        <v>291</v>
      </c>
      <c r="D77" s="481" t="s">
        <v>292</v>
      </c>
      <c r="E77" s="546" t="s">
        <v>462</v>
      </c>
      <c r="F77" s="56" t="s">
        <v>463</v>
      </c>
      <c r="G77" s="434" t="s">
        <v>464</v>
      </c>
      <c r="H77" s="181"/>
      <c r="I77" s="182" t="s">
        <v>465</v>
      </c>
      <c r="M77" s="170" t="s">
        <v>533</v>
      </c>
      <c r="N77" s="622"/>
    </row>
    <row r="78" spans="1:14" ht="47.25" customHeight="1" thickBot="1">
      <c r="A78" s="783"/>
      <c r="B78" s="482" t="s">
        <v>297</v>
      </c>
      <c r="C78" s="483" t="s">
        <v>298</v>
      </c>
      <c r="D78" s="484" t="s">
        <v>299</v>
      </c>
      <c r="E78" s="546" t="s">
        <v>466</v>
      </c>
      <c r="F78" s="217" t="s">
        <v>300</v>
      </c>
      <c r="G78" s="435" t="s">
        <v>301</v>
      </c>
      <c r="H78" s="183" t="s">
        <v>302</v>
      </c>
      <c r="I78" s="184"/>
      <c r="N78" s="622"/>
    </row>
    <row r="79" spans="1:14" ht="47.25" customHeight="1" thickBot="1">
      <c r="A79" s="784"/>
      <c r="B79" s="485" t="s">
        <v>304</v>
      </c>
      <c r="C79" s="486" t="s">
        <v>305</v>
      </c>
      <c r="D79" s="487" t="s">
        <v>2</v>
      </c>
      <c r="E79" s="785" t="s">
        <v>28</v>
      </c>
      <c r="F79" s="787" t="s">
        <v>306</v>
      </c>
      <c r="G79" s="789" t="s">
        <v>307</v>
      </c>
      <c r="H79" s="791" t="s">
        <v>308</v>
      </c>
      <c r="I79" s="801" t="s">
        <v>309</v>
      </c>
      <c r="N79" s="622"/>
    </row>
    <row r="80" spans="1:14" ht="47.25" customHeight="1" thickBot="1">
      <c r="A80" s="488" t="s">
        <v>77</v>
      </c>
      <c r="B80" s="803" t="s">
        <v>277</v>
      </c>
      <c r="C80" s="804"/>
      <c r="D80" s="805"/>
      <c r="E80" s="786"/>
      <c r="F80" s="788"/>
      <c r="G80" s="790"/>
      <c r="H80" s="792"/>
      <c r="I80" s="802"/>
      <c r="N80" s="622"/>
    </row>
    <row r="81" spans="1:15" ht="47.25" customHeight="1" thickBot="1">
      <c r="A81" s="489" t="s">
        <v>76</v>
      </c>
      <c r="B81" s="806" t="s">
        <v>277</v>
      </c>
      <c r="C81" s="807"/>
      <c r="D81" s="808"/>
      <c r="E81" s="547" t="s">
        <v>314</v>
      </c>
      <c r="F81" s="218" t="s">
        <v>315</v>
      </c>
      <c r="G81" s="436" t="s">
        <v>316</v>
      </c>
      <c r="H81" s="185" t="s">
        <v>467</v>
      </c>
      <c r="I81" s="186" t="s">
        <v>318</v>
      </c>
      <c r="N81" s="621"/>
    </row>
    <row r="82" spans="1:15" ht="47.25" customHeight="1" thickBot="1">
      <c r="A82" s="490" t="s">
        <v>75</v>
      </c>
      <c r="B82" s="809" t="s">
        <v>277</v>
      </c>
      <c r="C82" s="810"/>
      <c r="D82" s="811"/>
      <c r="E82" s="548" t="s">
        <v>29</v>
      </c>
      <c r="F82" s="219" t="s">
        <v>324</v>
      </c>
      <c r="G82" s="437" t="s">
        <v>325</v>
      </c>
      <c r="H82" s="187" t="s">
        <v>326</v>
      </c>
      <c r="I82" s="188" t="s">
        <v>327</v>
      </c>
      <c r="N82" s="623"/>
    </row>
    <row r="83" spans="1:15" ht="47.25" customHeight="1" thickBot="1">
      <c r="A83" s="491" t="s">
        <v>74</v>
      </c>
      <c r="B83" s="492" t="s">
        <v>468</v>
      </c>
      <c r="C83" s="493" t="s">
        <v>469</v>
      </c>
      <c r="D83" s="494" t="s">
        <v>470</v>
      </c>
      <c r="E83" s="549" t="s">
        <v>30</v>
      </c>
      <c r="F83" s="220" t="s">
        <v>408</v>
      </c>
      <c r="G83" s="438" t="s">
        <v>329</v>
      </c>
      <c r="H83" s="189" t="s">
        <v>330</v>
      </c>
      <c r="I83" s="190" t="s">
        <v>331</v>
      </c>
      <c r="N83" s="624" t="s">
        <v>529</v>
      </c>
    </row>
    <row r="84" spans="1:15" ht="47.25" customHeight="1" thickBot="1">
      <c r="A84" s="495" t="s">
        <v>73</v>
      </c>
      <c r="B84" s="496"/>
      <c r="C84" s="497" t="s">
        <v>471</v>
      </c>
      <c r="D84" s="439" t="s">
        <v>472</v>
      </c>
      <c r="E84" s="550" t="s">
        <v>32</v>
      </c>
      <c r="F84" s="57" t="s">
        <v>333</v>
      </c>
      <c r="G84" s="439" t="s">
        <v>473</v>
      </c>
      <c r="H84" s="191" t="s">
        <v>474</v>
      </c>
      <c r="I84" s="192"/>
      <c r="N84" s="625"/>
    </row>
    <row r="85" spans="1:15" ht="47.25" customHeight="1">
      <c r="A85" s="765" t="s">
        <v>72</v>
      </c>
      <c r="B85" s="498" t="s">
        <v>340</v>
      </c>
      <c r="C85" s="440" t="s">
        <v>341</v>
      </c>
      <c r="D85" s="499" t="s">
        <v>1</v>
      </c>
      <c r="E85" s="551" t="s">
        <v>31</v>
      </c>
      <c r="F85" s="58" t="s">
        <v>342</v>
      </c>
      <c r="G85" s="440" t="s">
        <v>343</v>
      </c>
      <c r="H85" s="193" t="s">
        <v>344</v>
      </c>
      <c r="I85" s="194" t="s">
        <v>345</v>
      </c>
      <c r="N85" s="626"/>
    </row>
    <row r="86" spans="1:15" ht="47.25" customHeight="1">
      <c r="A86" s="766"/>
      <c r="B86" s="500" t="s">
        <v>347</v>
      </c>
      <c r="C86" s="501" t="s">
        <v>475</v>
      </c>
      <c r="D86" s="502" t="s">
        <v>476</v>
      </c>
      <c r="E86" s="552" t="s">
        <v>23</v>
      </c>
      <c r="F86" s="221" t="s">
        <v>403</v>
      </c>
      <c r="G86" s="441" t="s">
        <v>477</v>
      </c>
      <c r="H86" s="195" t="s">
        <v>478</v>
      </c>
      <c r="I86" s="196" t="s">
        <v>479</v>
      </c>
      <c r="N86" s="627"/>
    </row>
    <row r="87" spans="1:15" ht="47.25" customHeight="1">
      <c r="A87" s="766"/>
      <c r="B87" s="503" t="s">
        <v>352</v>
      </c>
      <c r="C87" s="504" t="s">
        <v>353</v>
      </c>
      <c r="D87" s="505" t="s">
        <v>10</v>
      </c>
      <c r="E87" s="552" t="s">
        <v>354</v>
      </c>
      <c r="F87" s="60" t="s">
        <v>355</v>
      </c>
      <c r="G87" s="441" t="s">
        <v>356</v>
      </c>
      <c r="H87" s="195" t="s">
        <v>357</v>
      </c>
      <c r="I87" s="196" t="s">
        <v>358</v>
      </c>
      <c r="N87" s="628"/>
    </row>
    <row r="88" spans="1:15" ht="47.25" customHeight="1">
      <c r="A88" s="766"/>
      <c r="B88" s="506" t="s">
        <v>72</v>
      </c>
      <c r="C88" s="507" t="s">
        <v>480</v>
      </c>
      <c r="D88" s="505" t="s">
        <v>9</v>
      </c>
      <c r="E88" s="553" t="s">
        <v>481</v>
      </c>
      <c r="F88" s="59" t="s">
        <v>482</v>
      </c>
      <c r="G88" s="442" t="s">
        <v>483</v>
      </c>
      <c r="H88" s="197"/>
      <c r="I88" s="198" t="s">
        <v>484</v>
      </c>
      <c r="N88" s="629"/>
      <c r="O88" s="170" t="s">
        <v>534</v>
      </c>
    </row>
    <row r="89" spans="1:15" ht="47.25" customHeight="1" thickBot="1">
      <c r="A89" s="767"/>
      <c r="B89" s="508" t="s">
        <v>72</v>
      </c>
      <c r="C89" s="509" t="s">
        <v>361</v>
      </c>
      <c r="D89" s="510" t="s">
        <v>12</v>
      </c>
      <c r="E89" s="554" t="s">
        <v>362</v>
      </c>
      <c r="F89" s="222" t="s">
        <v>363</v>
      </c>
      <c r="G89" s="442" t="s">
        <v>364</v>
      </c>
      <c r="H89" s="199"/>
      <c r="I89" s="200" t="s">
        <v>365</v>
      </c>
      <c r="N89" s="630"/>
    </row>
    <row r="90" spans="1:15" ht="47.25" customHeight="1" thickBot="1">
      <c r="A90" s="768" t="s">
        <v>71</v>
      </c>
      <c r="B90" s="511" t="s">
        <v>366</v>
      </c>
      <c r="C90" s="512" t="s">
        <v>367</v>
      </c>
      <c r="D90" s="513" t="s">
        <v>299</v>
      </c>
      <c r="E90" s="555" t="s">
        <v>368</v>
      </c>
      <c r="F90" s="223" t="s">
        <v>485</v>
      </c>
      <c r="G90" s="443" t="s">
        <v>486</v>
      </c>
      <c r="H90" s="202"/>
      <c r="I90" s="203" t="s">
        <v>487</v>
      </c>
      <c r="N90" s="625"/>
    </row>
    <row r="91" spans="1:15" ht="47.25" customHeight="1" thickBot="1">
      <c r="A91" s="769"/>
      <c r="B91" s="514" t="s">
        <v>374</v>
      </c>
      <c r="C91" s="515">
        <v>1003</v>
      </c>
      <c r="D91" s="516" t="s">
        <v>10</v>
      </c>
      <c r="E91" s="556" t="s">
        <v>375</v>
      </c>
      <c r="F91" s="61" t="s">
        <v>376</v>
      </c>
      <c r="G91" s="444" t="s">
        <v>488</v>
      </c>
      <c r="H91" s="201"/>
      <c r="I91" s="205" t="s">
        <v>379</v>
      </c>
      <c r="N91" s="631"/>
    </row>
    <row r="92" spans="1:15" ht="47.25" customHeight="1" thickBot="1">
      <c r="A92" s="769"/>
      <c r="B92" s="517" t="s">
        <v>71</v>
      </c>
      <c r="C92" s="515">
        <v>1002</v>
      </c>
      <c r="D92" s="516" t="s">
        <v>9</v>
      </c>
      <c r="E92" s="556" t="s">
        <v>380</v>
      </c>
      <c r="F92" s="62" t="s">
        <v>381</v>
      </c>
      <c r="G92" s="445" t="s">
        <v>489</v>
      </c>
      <c r="H92" s="204"/>
      <c r="I92" s="206"/>
      <c r="N92" s="631"/>
    </row>
    <row r="93" spans="1:15" ht="47.25" customHeight="1" thickBot="1">
      <c r="A93" s="769"/>
      <c r="B93" s="517" t="s">
        <v>71</v>
      </c>
      <c r="C93" s="518">
        <v>1001</v>
      </c>
      <c r="D93" s="519" t="s">
        <v>12</v>
      </c>
      <c r="E93" s="557" t="s">
        <v>385</v>
      </c>
      <c r="F93" s="224" t="s">
        <v>386</v>
      </c>
      <c r="G93" s="446" t="s">
        <v>490</v>
      </c>
      <c r="H93" s="207" t="s">
        <v>491</v>
      </c>
      <c r="I93" s="208" t="s">
        <v>389</v>
      </c>
      <c r="N93" s="631"/>
    </row>
    <row r="94" spans="1:15" ht="47.25" customHeight="1" thickBot="1">
      <c r="A94" s="520" t="s">
        <v>70</v>
      </c>
      <c r="B94" s="521" t="s">
        <v>391</v>
      </c>
      <c r="C94" s="522" t="s">
        <v>392</v>
      </c>
      <c r="D94" s="523" t="s">
        <v>313</v>
      </c>
      <c r="E94" s="558" t="s">
        <v>393</v>
      </c>
      <c r="F94" s="225" t="s">
        <v>394</v>
      </c>
      <c r="G94" s="447" t="s">
        <v>492</v>
      </c>
      <c r="H94" s="209" t="s">
        <v>493</v>
      </c>
      <c r="I94" s="210"/>
      <c r="N94" s="631"/>
    </row>
    <row r="95" spans="1:15" ht="47.25" customHeight="1" thickBot="1">
      <c r="A95" s="524" t="s">
        <v>66</v>
      </c>
      <c r="B95" s="525" t="s">
        <v>420</v>
      </c>
      <c r="C95" s="448">
        <v>1501</v>
      </c>
      <c r="D95" s="526" t="s">
        <v>7</v>
      </c>
      <c r="E95" s="559" t="s">
        <v>421</v>
      </c>
      <c r="F95" s="226" t="s">
        <v>422</v>
      </c>
      <c r="G95" s="448" t="s">
        <v>423</v>
      </c>
      <c r="H95" s="211"/>
      <c r="I95" s="212" t="s">
        <v>424</v>
      </c>
      <c r="N95" s="631"/>
    </row>
    <row r="96" spans="1:15" ht="47.25" customHeight="1" thickBot="1">
      <c r="A96" s="527" t="s">
        <v>6</v>
      </c>
      <c r="B96" s="528" t="s">
        <v>426</v>
      </c>
      <c r="C96" s="529" t="s">
        <v>427</v>
      </c>
      <c r="D96" s="449" t="s">
        <v>428</v>
      </c>
      <c r="E96" s="560" t="s">
        <v>429</v>
      </c>
      <c r="F96" s="78" t="s">
        <v>430</v>
      </c>
      <c r="G96" s="449" t="s">
        <v>494</v>
      </c>
      <c r="H96" s="213"/>
      <c r="I96" s="214" t="s">
        <v>432</v>
      </c>
      <c r="N96" s="632" t="s">
        <v>535</v>
      </c>
    </row>
    <row r="97" spans="1:14" ht="47.25" customHeight="1" thickBot="1">
      <c r="A97" s="530" t="s">
        <v>65</v>
      </c>
      <c r="B97" s="798" t="s">
        <v>277</v>
      </c>
      <c r="C97" s="799"/>
      <c r="D97" s="800"/>
      <c r="E97" s="561" t="s">
        <v>33</v>
      </c>
      <c r="F97" s="79" t="s">
        <v>435</v>
      </c>
      <c r="G97" s="450" t="s">
        <v>436</v>
      </c>
      <c r="H97" s="215" t="s">
        <v>437</v>
      </c>
      <c r="I97" s="215" t="s">
        <v>438</v>
      </c>
      <c r="N97" s="633" t="s">
        <v>536</v>
      </c>
    </row>
    <row r="98" spans="1:14" ht="47.25" customHeight="1" thickBot="1">
      <c r="A98" s="530" t="s">
        <v>64</v>
      </c>
      <c r="B98" s="798" t="s">
        <v>277</v>
      </c>
      <c r="C98" s="799"/>
      <c r="D98" s="800"/>
      <c r="E98" s="561" t="s">
        <v>34</v>
      </c>
      <c r="F98" s="79" t="s">
        <v>439</v>
      </c>
      <c r="G98" s="450" t="s">
        <v>440</v>
      </c>
      <c r="H98" s="215" t="s">
        <v>441</v>
      </c>
      <c r="I98" s="215" t="s">
        <v>495</v>
      </c>
      <c r="N98" s="633" t="s">
        <v>496</v>
      </c>
    </row>
  </sheetData>
  <mergeCells count="55">
    <mergeCell ref="B97:D97"/>
    <mergeCell ref="B98:D98"/>
    <mergeCell ref="I79:I80"/>
    <mergeCell ref="B80:D80"/>
    <mergeCell ref="B81:D81"/>
    <mergeCell ref="B82:D82"/>
    <mergeCell ref="N73:N75"/>
    <mergeCell ref="B53:D53"/>
    <mergeCell ref="B52:D52"/>
    <mergeCell ref="A85:A89"/>
    <mergeCell ref="A90:A93"/>
    <mergeCell ref="G73:G75"/>
    <mergeCell ref="H73:H75"/>
    <mergeCell ref="I73:I75"/>
    <mergeCell ref="B74:D74"/>
    <mergeCell ref="A76:A79"/>
    <mergeCell ref="E79:E80"/>
    <mergeCell ref="F79:F80"/>
    <mergeCell ref="G79:G80"/>
    <mergeCell ref="H79:H80"/>
    <mergeCell ref="E73:E75"/>
    <mergeCell ref="F73:F75"/>
    <mergeCell ref="A69:A70"/>
    <mergeCell ref="B69:D70"/>
    <mergeCell ref="E69:E70"/>
    <mergeCell ref="F69:F70"/>
    <mergeCell ref="A26:A32"/>
    <mergeCell ref="A33:A36"/>
    <mergeCell ref="B37:D37"/>
    <mergeCell ref="B50:D50"/>
    <mergeCell ref="B51:D51"/>
    <mergeCell ref="A43:A47"/>
    <mergeCell ref="A38:A42"/>
    <mergeCell ref="B46:B47"/>
    <mergeCell ref="A20:A25"/>
    <mergeCell ref="B12:D12"/>
    <mergeCell ref="B17:D17"/>
    <mergeCell ref="A13:A16"/>
    <mergeCell ref="B18:D18"/>
    <mergeCell ref="N5:N6"/>
    <mergeCell ref="A7:A11"/>
    <mergeCell ref="E11:E12"/>
    <mergeCell ref="F11:F12"/>
    <mergeCell ref="G11:G12"/>
    <mergeCell ref="H11:H12"/>
    <mergeCell ref="I11:I12"/>
    <mergeCell ref="M11:M12"/>
    <mergeCell ref="N11:N12"/>
    <mergeCell ref="E5:E6"/>
    <mergeCell ref="F5:F6"/>
    <mergeCell ref="G5:G6"/>
    <mergeCell ref="H5:H6"/>
    <mergeCell ref="I5:I6"/>
    <mergeCell ref="M5:M6"/>
    <mergeCell ref="B5:C5"/>
  </mergeCells>
  <phoneticPr fontId="2" type="noConversion"/>
  <printOptions horizontalCentered="1"/>
  <pageMargins left="0.15748031496062992" right="0.15748031496062992" top="0.23622047244094491" bottom="0" header="0.15748031496062992" footer="0.15748031496062992"/>
  <pageSetup paperSize="9"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6"/>
  <sheetViews>
    <sheetView view="pageBreakPreview" zoomScale="70" zoomScaleNormal="40" zoomScaleSheetLayoutView="70" workbookViewId="0">
      <selection activeCell="G64" sqref="G64"/>
    </sheetView>
  </sheetViews>
  <sheetFormatPr defaultColWidth="9" defaultRowHeight="18.75"/>
  <cols>
    <col min="1" max="1" width="6.875" style="253" customWidth="1"/>
    <col min="2" max="2" width="15.875" style="253" customWidth="1"/>
    <col min="3" max="3" width="16" style="253" customWidth="1"/>
    <col min="4" max="5" width="14" style="253" customWidth="1"/>
    <col min="6" max="9" width="14.125" style="253" customWidth="1"/>
    <col min="10" max="11" width="12.875" style="253" customWidth="1"/>
    <col min="12" max="12" width="16.25" style="253" customWidth="1"/>
    <col min="13" max="14" width="9" style="253"/>
    <col min="15" max="15" width="16.25" style="253" customWidth="1"/>
    <col min="16" max="16384" width="9" style="253"/>
  </cols>
  <sheetData>
    <row r="1" spans="1:12" ht="24" customHeight="1">
      <c r="A1" s="851" t="s">
        <v>913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</row>
    <row r="2" spans="1:12" s="234" customFormat="1" ht="24" customHeight="1" thickBot="1">
      <c r="A2" s="233" t="s">
        <v>36</v>
      </c>
      <c r="B2" s="233"/>
      <c r="J2" s="235"/>
    </row>
    <row r="3" spans="1:12" s="258" customFormat="1" ht="31.15" customHeight="1">
      <c r="A3" s="254" t="s">
        <v>37</v>
      </c>
      <c r="B3" s="255" t="s">
        <v>58</v>
      </c>
      <c r="C3" s="256" t="s">
        <v>39</v>
      </c>
      <c r="D3" s="256" t="s">
        <v>40</v>
      </c>
      <c r="E3" s="256" t="s">
        <v>41</v>
      </c>
      <c r="F3" s="256" t="s">
        <v>42</v>
      </c>
      <c r="G3" s="256" t="s">
        <v>43</v>
      </c>
      <c r="H3" s="256" t="s">
        <v>44</v>
      </c>
      <c r="I3" s="256" t="s">
        <v>1133</v>
      </c>
      <c r="J3" s="3" t="s">
        <v>45</v>
      </c>
      <c r="K3" s="256" t="s">
        <v>46</v>
      </c>
      <c r="L3" s="257" t="s">
        <v>89</v>
      </c>
    </row>
    <row r="4" spans="1:12" s="258" customFormat="1" ht="19.5" customHeight="1">
      <c r="A4" s="821" t="s">
        <v>62</v>
      </c>
      <c r="B4" s="849" t="s">
        <v>59</v>
      </c>
      <c r="C4" s="260" t="s">
        <v>0</v>
      </c>
      <c r="D4" s="260" t="s">
        <v>1</v>
      </c>
      <c r="E4" s="260"/>
      <c r="F4" s="260"/>
      <c r="G4" s="260"/>
      <c r="H4" s="260"/>
      <c r="I4" s="260"/>
      <c r="J4" s="260"/>
      <c r="K4" s="259"/>
      <c r="L4" s="826">
        <f>SUM(C5:K5)</f>
        <v>375.28</v>
      </c>
    </row>
    <row r="5" spans="1:12" s="258" customFormat="1" ht="19.5" customHeight="1">
      <c r="A5" s="852"/>
      <c r="B5" s="833"/>
      <c r="C5" s="261">
        <v>190.37</v>
      </c>
      <c r="D5" s="261">
        <v>184.91</v>
      </c>
      <c r="E5" s="259"/>
      <c r="F5" s="259"/>
      <c r="G5" s="259"/>
      <c r="H5" s="259"/>
      <c r="I5" s="259"/>
      <c r="J5" s="259"/>
      <c r="K5" s="259"/>
      <c r="L5" s="826"/>
    </row>
    <row r="6" spans="1:12" s="258" customFormat="1" ht="19.5" customHeight="1" thickBot="1">
      <c r="A6" s="853"/>
      <c r="B6" s="834"/>
      <c r="C6" s="266" t="s">
        <v>934</v>
      </c>
      <c r="D6" s="266" t="s">
        <v>934</v>
      </c>
      <c r="E6" s="262"/>
      <c r="F6" s="262"/>
      <c r="G6" s="262"/>
      <c r="H6" s="262"/>
      <c r="I6" s="262"/>
      <c r="J6" s="262"/>
      <c r="K6" s="262"/>
      <c r="L6" s="827"/>
    </row>
    <row r="7" spans="1:12" s="258" customFormat="1" ht="19.5" customHeight="1">
      <c r="A7" s="820" t="s">
        <v>63</v>
      </c>
      <c r="B7" s="849" t="s">
        <v>59</v>
      </c>
      <c r="C7" s="255" t="s">
        <v>0</v>
      </c>
      <c r="D7" s="255" t="s">
        <v>1</v>
      </c>
      <c r="E7" s="263"/>
      <c r="F7" s="263"/>
      <c r="G7" s="263"/>
      <c r="H7" s="263"/>
      <c r="I7" s="263"/>
      <c r="J7" s="263"/>
      <c r="K7" s="263"/>
      <c r="L7" s="825">
        <f>SUM(C8:K8)</f>
        <v>470.25</v>
      </c>
    </row>
    <row r="8" spans="1:12" s="258" customFormat="1" ht="19.5" customHeight="1">
      <c r="A8" s="852"/>
      <c r="B8" s="833"/>
      <c r="C8" s="261">
        <v>285.33999999999997</v>
      </c>
      <c r="D8" s="261">
        <v>184.91</v>
      </c>
      <c r="E8" s="259"/>
      <c r="F8" s="259"/>
      <c r="G8" s="259"/>
      <c r="H8" s="259"/>
      <c r="I8" s="259"/>
      <c r="J8" s="259"/>
      <c r="K8" s="259"/>
      <c r="L8" s="826"/>
    </row>
    <row r="9" spans="1:12" s="258" customFormat="1" ht="19.5" customHeight="1" thickBot="1">
      <c r="A9" s="853"/>
      <c r="B9" s="834"/>
      <c r="C9" s="828" t="s">
        <v>852</v>
      </c>
      <c r="D9" s="830"/>
      <c r="E9" s="262"/>
      <c r="F9" s="262"/>
      <c r="G9" s="262"/>
      <c r="H9" s="262"/>
      <c r="I9" s="262"/>
      <c r="J9" s="262"/>
      <c r="K9" s="262"/>
      <c r="L9" s="827"/>
    </row>
    <row r="10" spans="1:12" s="258" customFormat="1" ht="20.100000000000001" customHeight="1">
      <c r="A10" s="820" t="s">
        <v>64</v>
      </c>
      <c r="B10" s="832" t="s">
        <v>81</v>
      </c>
      <c r="C10" s="255" t="s">
        <v>2</v>
      </c>
      <c r="D10" s="255" t="s">
        <v>0</v>
      </c>
      <c r="E10" s="255" t="s">
        <v>1</v>
      </c>
      <c r="F10" s="263"/>
      <c r="G10" s="263"/>
      <c r="H10" s="263"/>
      <c r="I10" s="263"/>
      <c r="J10" s="263"/>
      <c r="K10" s="263"/>
      <c r="L10" s="825">
        <f>SUM(C11:K11)</f>
        <v>718.3</v>
      </c>
    </row>
    <row r="11" spans="1:12" s="265" customFormat="1" ht="20.100000000000001" customHeight="1">
      <c r="A11" s="821"/>
      <c r="B11" s="833"/>
      <c r="C11" s="261">
        <v>147.30000000000001</v>
      </c>
      <c r="D11" s="261">
        <v>261.67</v>
      </c>
      <c r="E11" s="261">
        <v>309.33</v>
      </c>
      <c r="F11" s="259"/>
      <c r="G11" s="259"/>
      <c r="H11" s="259"/>
      <c r="I11" s="259"/>
      <c r="J11" s="259"/>
      <c r="K11" s="259"/>
      <c r="L11" s="826"/>
    </row>
    <row r="12" spans="1:12" s="258" customFormat="1" ht="20.100000000000001" customHeight="1" thickBot="1">
      <c r="A12" s="812"/>
      <c r="B12" s="834"/>
      <c r="C12" s="854" t="s">
        <v>1203</v>
      </c>
      <c r="D12" s="855"/>
      <c r="E12" s="856"/>
      <c r="F12" s="262"/>
      <c r="G12" s="262"/>
      <c r="H12" s="262"/>
      <c r="I12" s="262"/>
      <c r="J12" s="262"/>
      <c r="K12" s="262"/>
      <c r="L12" s="827"/>
    </row>
    <row r="13" spans="1:12" s="258" customFormat="1" ht="20.100000000000001" customHeight="1">
      <c r="A13" s="820" t="s">
        <v>65</v>
      </c>
      <c r="B13" s="822" t="s">
        <v>627</v>
      </c>
      <c r="C13" s="255" t="s">
        <v>3</v>
      </c>
      <c r="D13" s="255" t="s">
        <v>4</v>
      </c>
      <c r="E13" s="255" t="s">
        <v>5</v>
      </c>
      <c r="F13" s="263"/>
      <c r="G13" s="263"/>
      <c r="H13" s="263"/>
      <c r="I13" s="263"/>
      <c r="J13" s="263"/>
      <c r="K13" s="263"/>
      <c r="L13" s="825">
        <f>SUM(C14:K14)</f>
        <v>708.07999999999993</v>
      </c>
    </row>
    <row r="14" spans="1:12" s="265" customFormat="1" ht="20.100000000000001" customHeight="1">
      <c r="A14" s="821"/>
      <c r="B14" s="823"/>
      <c r="C14" s="261">
        <v>147.34</v>
      </c>
      <c r="D14" s="261">
        <v>253.84</v>
      </c>
      <c r="E14" s="261">
        <v>306.89999999999998</v>
      </c>
      <c r="F14" s="259"/>
      <c r="G14" s="259"/>
      <c r="H14" s="259"/>
      <c r="I14" s="259"/>
      <c r="J14" s="259"/>
      <c r="K14" s="259"/>
      <c r="L14" s="826"/>
    </row>
    <row r="15" spans="1:12" s="258" customFormat="1" ht="20.100000000000001" customHeight="1" thickBot="1">
      <c r="A15" s="812"/>
      <c r="B15" s="824"/>
      <c r="C15" s="4" t="s">
        <v>57</v>
      </c>
      <c r="D15" s="264" t="s">
        <v>47</v>
      </c>
      <c r="E15" s="264" t="s">
        <v>47</v>
      </c>
      <c r="F15" s="262"/>
      <c r="G15" s="262"/>
      <c r="H15" s="262"/>
      <c r="I15" s="262"/>
      <c r="J15" s="262"/>
      <c r="K15" s="262"/>
      <c r="L15" s="827"/>
    </row>
    <row r="16" spans="1:12" s="258" customFormat="1" ht="20.100000000000001" customHeight="1">
      <c r="A16" s="820" t="s">
        <v>6</v>
      </c>
      <c r="B16" s="849" t="s">
        <v>626</v>
      </c>
      <c r="C16" s="255" t="s">
        <v>3</v>
      </c>
      <c r="D16" s="255" t="s">
        <v>4</v>
      </c>
      <c r="E16" s="255" t="s">
        <v>5</v>
      </c>
      <c r="F16" s="263"/>
      <c r="G16" s="263"/>
      <c r="H16" s="263"/>
      <c r="I16" s="263"/>
      <c r="J16" s="255" t="s">
        <v>7</v>
      </c>
      <c r="K16" s="263"/>
      <c r="L16" s="825">
        <f>SUM(C17:K17)</f>
        <v>707.28000000000009</v>
      </c>
    </row>
    <row r="17" spans="1:12" s="265" customFormat="1" ht="20.100000000000001" customHeight="1">
      <c r="A17" s="821"/>
      <c r="B17" s="833"/>
      <c r="C17" s="261">
        <f>82.9+41.16</f>
        <v>124.06</v>
      </c>
      <c r="D17" s="261">
        <v>253.15</v>
      </c>
      <c r="E17" s="261">
        <v>291.41000000000003</v>
      </c>
      <c r="F17" s="259"/>
      <c r="G17" s="259"/>
      <c r="H17" s="259"/>
      <c r="I17" s="259"/>
      <c r="J17" s="261">
        <v>38.659999999999997</v>
      </c>
      <c r="K17" s="259"/>
      <c r="L17" s="826"/>
    </row>
    <row r="18" spans="1:12" s="258" customFormat="1" ht="20.100000000000001" customHeight="1" thickBot="1">
      <c r="A18" s="812"/>
      <c r="B18" s="834"/>
      <c r="C18" s="673" t="s">
        <v>1203</v>
      </c>
      <c r="D18" s="828" t="s">
        <v>809</v>
      </c>
      <c r="E18" s="830"/>
      <c r="F18" s="262"/>
      <c r="G18" s="262"/>
      <c r="H18" s="262"/>
      <c r="I18" s="262"/>
      <c r="J18" s="264" t="s">
        <v>809</v>
      </c>
      <c r="K18" s="262"/>
      <c r="L18" s="827"/>
    </row>
    <row r="19" spans="1:12" s="258" customFormat="1" ht="20.100000000000001" customHeight="1">
      <c r="A19" s="820" t="s">
        <v>66</v>
      </c>
      <c r="B19" s="849" t="s">
        <v>59</v>
      </c>
      <c r="C19" s="255" t="s">
        <v>3</v>
      </c>
      <c r="D19" s="255" t="s">
        <v>4</v>
      </c>
      <c r="E19" s="255" t="s">
        <v>5</v>
      </c>
      <c r="F19" s="263"/>
      <c r="G19" s="263"/>
      <c r="H19" s="263"/>
      <c r="I19" s="263"/>
      <c r="J19" s="255" t="s">
        <v>7</v>
      </c>
      <c r="K19" s="263"/>
      <c r="L19" s="825">
        <f>SUM(C20:K20)</f>
        <v>709.07</v>
      </c>
    </row>
    <row r="20" spans="1:12" s="265" customFormat="1" ht="20.100000000000001" customHeight="1">
      <c r="A20" s="821"/>
      <c r="B20" s="833"/>
      <c r="C20" s="261">
        <v>122.95</v>
      </c>
      <c r="D20" s="261">
        <v>256.05</v>
      </c>
      <c r="E20" s="261">
        <v>291.41000000000003</v>
      </c>
      <c r="F20" s="259"/>
      <c r="G20" s="259"/>
      <c r="H20" s="259"/>
      <c r="I20" s="259"/>
      <c r="J20" s="261">
        <v>38.659999999999997</v>
      </c>
      <c r="K20" s="259"/>
      <c r="L20" s="826"/>
    </row>
    <row r="21" spans="1:12" s="258" customFormat="1" ht="20.100000000000001" customHeight="1" thickBot="1">
      <c r="A21" s="812"/>
      <c r="B21" s="834"/>
      <c r="C21" s="828" t="s">
        <v>728</v>
      </c>
      <c r="D21" s="829"/>
      <c r="E21" s="830"/>
      <c r="F21" s="262"/>
      <c r="G21" s="262"/>
      <c r="H21" s="262"/>
      <c r="I21" s="262"/>
      <c r="J21" s="266" t="s">
        <v>149</v>
      </c>
      <c r="K21" s="262"/>
      <c r="L21" s="827"/>
    </row>
    <row r="22" spans="1:12" s="258" customFormat="1" ht="20.100000000000001" customHeight="1">
      <c r="A22" s="820" t="s">
        <v>67</v>
      </c>
      <c r="B22" s="849" t="s">
        <v>59</v>
      </c>
      <c r="C22" s="255" t="s">
        <v>9</v>
      </c>
      <c r="D22" s="255" t="s">
        <v>10</v>
      </c>
      <c r="E22" s="255" t="s">
        <v>11</v>
      </c>
      <c r="F22" s="255" t="s">
        <v>3</v>
      </c>
      <c r="G22" s="255" t="s">
        <v>4</v>
      </c>
      <c r="H22" s="255" t="s">
        <v>5</v>
      </c>
      <c r="I22" s="255" t="s">
        <v>12</v>
      </c>
      <c r="J22" s="255"/>
      <c r="K22" s="263"/>
      <c r="L22" s="825">
        <f>SUM(C23:K23)</f>
        <v>706.21</v>
      </c>
    </row>
    <row r="23" spans="1:12" s="265" customFormat="1" ht="20.100000000000001" customHeight="1">
      <c r="A23" s="821"/>
      <c r="B23" s="833"/>
      <c r="C23" s="261">
        <v>105.97</v>
      </c>
      <c r="D23" s="261">
        <v>97.88</v>
      </c>
      <c r="E23" s="261">
        <v>94.76</v>
      </c>
      <c r="F23" s="261">
        <v>79.94</v>
      </c>
      <c r="G23" s="261">
        <v>85.06</v>
      </c>
      <c r="H23" s="261">
        <v>203.86</v>
      </c>
      <c r="I23" s="261">
        <v>38.74</v>
      </c>
      <c r="J23" s="261"/>
      <c r="K23" s="259"/>
      <c r="L23" s="826"/>
    </row>
    <row r="24" spans="1:12" s="258" customFormat="1" ht="20.100000000000001" customHeight="1" thickBot="1">
      <c r="A24" s="812"/>
      <c r="B24" s="834"/>
      <c r="C24" s="266" t="s">
        <v>497</v>
      </c>
      <c r="D24" s="266" t="s">
        <v>727</v>
      </c>
      <c r="E24" s="266" t="s">
        <v>811</v>
      </c>
      <c r="F24" s="846" t="s">
        <v>662</v>
      </c>
      <c r="G24" s="847"/>
      <c r="H24" s="847"/>
      <c r="I24" s="266" t="s">
        <v>1152</v>
      </c>
      <c r="J24" s="264"/>
      <c r="K24" s="262"/>
      <c r="L24" s="827"/>
    </row>
    <row r="25" spans="1:12" s="258" customFormat="1" ht="20.100000000000001" customHeight="1">
      <c r="A25" s="820" t="s">
        <v>68</v>
      </c>
      <c r="B25" s="849" t="s">
        <v>59</v>
      </c>
      <c r="C25" s="255" t="s">
        <v>9</v>
      </c>
      <c r="D25" s="255" t="s">
        <v>10</v>
      </c>
      <c r="E25" s="255" t="s">
        <v>11</v>
      </c>
      <c r="F25" s="255" t="s">
        <v>3</v>
      </c>
      <c r="G25" s="255" t="s">
        <v>4</v>
      </c>
      <c r="H25" s="255" t="s">
        <v>5</v>
      </c>
      <c r="I25" s="255" t="s">
        <v>12</v>
      </c>
      <c r="J25" s="255"/>
      <c r="K25" s="263"/>
      <c r="L25" s="825">
        <f>SUM(C26:K26)</f>
        <v>706.21</v>
      </c>
    </row>
    <row r="26" spans="1:12" s="265" customFormat="1" ht="20.100000000000001" customHeight="1">
      <c r="A26" s="821"/>
      <c r="B26" s="833"/>
      <c r="C26" s="261">
        <v>105.97</v>
      </c>
      <c r="D26" s="261">
        <v>97.88</v>
      </c>
      <c r="E26" s="261">
        <v>94.76</v>
      </c>
      <c r="F26" s="261">
        <v>79.94</v>
      </c>
      <c r="G26" s="261">
        <v>85.06</v>
      </c>
      <c r="H26" s="261">
        <v>203.86</v>
      </c>
      <c r="I26" s="261">
        <v>38.74</v>
      </c>
      <c r="J26" s="261"/>
      <c r="K26" s="259"/>
      <c r="L26" s="826"/>
    </row>
    <row r="27" spans="1:12" s="258" customFormat="1" ht="20.100000000000001" customHeight="1" thickBot="1">
      <c r="A27" s="812"/>
      <c r="B27" s="834"/>
      <c r="C27" s="266" t="s">
        <v>1061</v>
      </c>
      <c r="D27" s="846" t="s">
        <v>181</v>
      </c>
      <c r="E27" s="848"/>
      <c r="F27" s="4" t="s">
        <v>688</v>
      </c>
      <c r="G27" s="829" t="s">
        <v>1009</v>
      </c>
      <c r="H27" s="830"/>
      <c r="I27" s="264" t="s">
        <v>1000</v>
      </c>
      <c r="J27" s="264"/>
      <c r="K27" s="262"/>
      <c r="L27" s="827"/>
    </row>
    <row r="28" spans="1:12" s="258" customFormat="1" ht="20.100000000000001" customHeight="1">
      <c r="A28" s="820" t="s">
        <v>69</v>
      </c>
      <c r="B28" s="849" t="s">
        <v>59</v>
      </c>
      <c r="C28" s="255" t="s">
        <v>9</v>
      </c>
      <c r="D28" s="255" t="s">
        <v>10</v>
      </c>
      <c r="E28" s="255" t="s">
        <v>11</v>
      </c>
      <c r="F28" s="255" t="s">
        <v>3</v>
      </c>
      <c r="G28" s="255" t="s">
        <v>4</v>
      </c>
      <c r="H28" s="255" t="s">
        <v>5</v>
      </c>
      <c r="I28" s="255" t="s">
        <v>12</v>
      </c>
      <c r="J28" s="255"/>
      <c r="K28" s="263"/>
      <c r="L28" s="825">
        <f>SUM(C29:K29)</f>
        <v>711.22</v>
      </c>
    </row>
    <row r="29" spans="1:12" s="265" customFormat="1" ht="20.100000000000001" customHeight="1">
      <c r="A29" s="821"/>
      <c r="B29" s="833"/>
      <c r="C29" s="261">
        <v>105.97</v>
      </c>
      <c r="D29" s="261">
        <v>97.88</v>
      </c>
      <c r="E29" s="261">
        <v>94.76</v>
      </c>
      <c r="F29" s="261">
        <v>79.94</v>
      </c>
      <c r="G29" s="261">
        <v>85.06</v>
      </c>
      <c r="H29" s="261">
        <v>208.87</v>
      </c>
      <c r="I29" s="261">
        <v>38.74</v>
      </c>
      <c r="J29" s="261"/>
      <c r="K29" s="259"/>
      <c r="L29" s="826"/>
    </row>
    <row r="30" spans="1:12" s="258" customFormat="1" ht="20.100000000000001" customHeight="1" thickBot="1">
      <c r="A30" s="812"/>
      <c r="B30" s="834"/>
      <c r="C30" s="846" t="s">
        <v>972</v>
      </c>
      <c r="D30" s="847"/>
      <c r="E30" s="847"/>
      <c r="F30" s="847"/>
      <c r="G30" s="847"/>
      <c r="H30" s="847"/>
      <c r="I30" s="848"/>
      <c r="J30" s="264"/>
      <c r="K30" s="262"/>
      <c r="L30" s="827"/>
    </row>
    <row r="31" spans="1:12" s="258" customFormat="1" ht="20.100000000000001" customHeight="1">
      <c r="A31" s="820" t="s">
        <v>70</v>
      </c>
      <c r="B31" s="849" t="s">
        <v>59</v>
      </c>
      <c r="C31" s="255" t="s">
        <v>9</v>
      </c>
      <c r="D31" s="255" t="s">
        <v>10</v>
      </c>
      <c r="E31" s="255" t="s">
        <v>11</v>
      </c>
      <c r="F31" s="255" t="s">
        <v>3</v>
      </c>
      <c r="G31" s="255" t="s">
        <v>4</v>
      </c>
      <c r="H31" s="255" t="s">
        <v>5</v>
      </c>
      <c r="I31" s="255" t="s">
        <v>12</v>
      </c>
      <c r="J31" s="255"/>
      <c r="K31" s="263"/>
      <c r="L31" s="825">
        <f>SUM(C32:K32)</f>
        <v>710.87</v>
      </c>
    </row>
    <row r="32" spans="1:12" s="265" customFormat="1" ht="20.100000000000001" customHeight="1">
      <c r="A32" s="821"/>
      <c r="B32" s="833"/>
      <c r="C32" s="261">
        <v>105.97</v>
      </c>
      <c r="D32" s="261">
        <v>99.09</v>
      </c>
      <c r="E32" s="261">
        <v>98.21</v>
      </c>
      <c r="F32" s="261">
        <v>79.94</v>
      </c>
      <c r="G32" s="261">
        <v>85.06</v>
      </c>
      <c r="H32" s="261">
        <v>203.86</v>
      </c>
      <c r="I32" s="261">
        <v>38.74</v>
      </c>
      <c r="J32" s="261"/>
      <c r="K32" s="259"/>
      <c r="L32" s="826"/>
    </row>
    <row r="33" spans="1:15" s="258" customFormat="1" ht="20.100000000000001" customHeight="1" thickBot="1">
      <c r="A33" s="812"/>
      <c r="B33" s="834"/>
      <c r="C33" s="264" t="s">
        <v>984</v>
      </c>
      <c r="D33" s="373" t="s">
        <v>852</v>
      </c>
      <c r="E33" s="846" t="s">
        <v>136</v>
      </c>
      <c r="F33" s="847"/>
      <c r="G33" s="847"/>
      <c r="H33" s="848"/>
      <c r="I33" s="268" t="s">
        <v>1090</v>
      </c>
      <c r="J33" s="262"/>
      <c r="K33" s="262"/>
      <c r="L33" s="827"/>
    </row>
    <row r="34" spans="1:15" s="258" customFormat="1" ht="20.100000000000001" customHeight="1">
      <c r="A34" s="820" t="s">
        <v>71</v>
      </c>
      <c r="B34" s="849" t="s">
        <v>59</v>
      </c>
      <c r="C34" s="255" t="s">
        <v>9</v>
      </c>
      <c r="D34" s="255" t="s">
        <v>10</v>
      </c>
      <c r="E34" s="255" t="s">
        <v>11</v>
      </c>
      <c r="F34" s="255" t="s">
        <v>3</v>
      </c>
      <c r="G34" s="255" t="s">
        <v>4</v>
      </c>
      <c r="H34" s="255" t="s">
        <v>5</v>
      </c>
      <c r="I34" s="255" t="s">
        <v>12</v>
      </c>
      <c r="J34" s="255"/>
      <c r="K34" s="263"/>
      <c r="L34" s="825">
        <f>SUM(C35:K35)</f>
        <v>706.21</v>
      </c>
    </row>
    <row r="35" spans="1:15" s="265" customFormat="1" ht="20.100000000000001" customHeight="1">
      <c r="A35" s="821"/>
      <c r="B35" s="833"/>
      <c r="C35" s="261">
        <v>105.97</v>
      </c>
      <c r="D35" s="261">
        <v>97.88</v>
      </c>
      <c r="E35" s="261">
        <v>94.76</v>
      </c>
      <c r="F35" s="261">
        <v>79.94</v>
      </c>
      <c r="G35" s="261">
        <v>85.06</v>
      </c>
      <c r="H35" s="261">
        <v>203.86</v>
      </c>
      <c r="I35" s="261">
        <v>38.74</v>
      </c>
      <c r="J35" s="261"/>
      <c r="K35" s="259"/>
      <c r="L35" s="826"/>
      <c r="O35" s="258"/>
    </row>
    <row r="36" spans="1:15" s="258" customFormat="1" ht="20.100000000000001" customHeight="1" thickBot="1">
      <c r="A36" s="812"/>
      <c r="B36" s="834"/>
      <c r="C36" s="266" t="s">
        <v>810</v>
      </c>
      <c r="D36" s="266" t="s">
        <v>151</v>
      </c>
      <c r="E36" s="266" t="s">
        <v>852</v>
      </c>
      <c r="F36" s="264" t="s">
        <v>953</v>
      </c>
      <c r="G36" s="268" t="s">
        <v>940</v>
      </c>
      <c r="H36" s="350" t="s">
        <v>137</v>
      </c>
      <c r="I36" s="266" t="s">
        <v>150</v>
      </c>
      <c r="J36" s="264"/>
      <c r="K36" s="262"/>
      <c r="L36" s="827"/>
      <c r="O36" s="265"/>
    </row>
    <row r="37" spans="1:15" s="258" customFormat="1" ht="20.100000000000001" customHeight="1">
      <c r="A37" s="820" t="s">
        <v>72</v>
      </c>
      <c r="B37" s="849" t="s">
        <v>59</v>
      </c>
      <c r="C37" s="255" t="s">
        <v>781</v>
      </c>
      <c r="D37" s="255" t="s">
        <v>782</v>
      </c>
      <c r="E37" s="255" t="s">
        <v>11</v>
      </c>
      <c r="F37" s="255" t="s">
        <v>783</v>
      </c>
      <c r="G37" s="255" t="s">
        <v>784</v>
      </c>
      <c r="H37" s="255" t="s">
        <v>785</v>
      </c>
      <c r="I37" s="255" t="s">
        <v>12</v>
      </c>
      <c r="J37" s="255"/>
      <c r="K37" s="255"/>
      <c r="L37" s="825">
        <f>SUM(C38:K38)</f>
        <v>557.26</v>
      </c>
    </row>
    <row r="38" spans="1:15" s="265" customFormat="1" ht="20.100000000000001" customHeight="1">
      <c r="A38" s="821"/>
      <c r="B38" s="833"/>
      <c r="C38" s="261">
        <v>35.04</v>
      </c>
      <c r="D38" s="261">
        <v>102.1</v>
      </c>
      <c r="E38" s="261"/>
      <c r="F38" s="261">
        <v>83.65</v>
      </c>
      <c r="G38" s="261">
        <v>85.06</v>
      </c>
      <c r="H38" s="261">
        <v>212.67</v>
      </c>
      <c r="I38" s="261">
        <v>38.74</v>
      </c>
      <c r="J38" s="261"/>
      <c r="K38" s="267"/>
      <c r="L38" s="826"/>
      <c r="O38" s="258"/>
    </row>
    <row r="39" spans="1:15" s="258" customFormat="1" ht="20.100000000000001" customHeight="1" thickBot="1">
      <c r="A39" s="812"/>
      <c r="B39" s="834"/>
      <c r="C39" s="266" t="s">
        <v>1176</v>
      </c>
      <c r="D39" s="296" t="s">
        <v>1144</v>
      </c>
      <c r="E39" s="2" t="s">
        <v>48</v>
      </c>
      <c r="F39" s="828" t="s">
        <v>206</v>
      </c>
      <c r="G39" s="830"/>
      <c r="H39" s="266" t="s">
        <v>138</v>
      </c>
      <c r="I39" s="264" t="s">
        <v>122</v>
      </c>
      <c r="J39" s="264"/>
      <c r="K39" s="262"/>
      <c r="L39" s="827"/>
    </row>
    <row r="40" spans="1:15" s="258" customFormat="1" ht="20.100000000000001" customHeight="1">
      <c r="A40" s="820" t="s">
        <v>73</v>
      </c>
      <c r="B40" s="832" t="s">
        <v>60</v>
      </c>
      <c r="C40" s="255" t="s">
        <v>9</v>
      </c>
      <c r="D40" s="255" t="s">
        <v>10</v>
      </c>
      <c r="E40" s="255" t="s">
        <v>11</v>
      </c>
      <c r="F40" s="255" t="s">
        <v>3</v>
      </c>
      <c r="G40" s="255" t="s">
        <v>4</v>
      </c>
      <c r="H40" s="255" t="s">
        <v>5</v>
      </c>
      <c r="I40" s="255" t="s">
        <v>12</v>
      </c>
      <c r="J40" s="255"/>
      <c r="K40" s="255"/>
      <c r="L40" s="825">
        <f>SUM(C41:K41)</f>
        <v>711.3</v>
      </c>
      <c r="O40" s="265"/>
    </row>
    <row r="41" spans="1:15" s="265" customFormat="1" ht="20.100000000000001" customHeight="1">
      <c r="A41" s="821"/>
      <c r="B41" s="833"/>
      <c r="C41" s="261">
        <v>105.89</v>
      </c>
      <c r="D41" s="261">
        <v>97.88</v>
      </c>
      <c r="E41" s="261">
        <v>94.76</v>
      </c>
      <c r="F41" s="261">
        <v>79.94</v>
      </c>
      <c r="G41" s="261">
        <v>85.06</v>
      </c>
      <c r="H41" s="261">
        <v>209.03</v>
      </c>
      <c r="I41" s="261">
        <v>38.74</v>
      </c>
      <c r="J41" s="261"/>
      <c r="K41" s="267"/>
      <c r="L41" s="826"/>
    </row>
    <row r="42" spans="1:15" s="258" customFormat="1" ht="20.100000000000001" customHeight="1" thickBot="1">
      <c r="A42" s="812"/>
      <c r="B42" s="834"/>
      <c r="C42" s="846" t="s">
        <v>652</v>
      </c>
      <c r="D42" s="847"/>
      <c r="E42" s="847"/>
      <c r="F42" s="847"/>
      <c r="G42" s="847"/>
      <c r="H42" s="847"/>
      <c r="I42" s="848"/>
      <c r="J42" s="264"/>
      <c r="K42" s="262"/>
      <c r="L42" s="827"/>
    </row>
    <row r="43" spans="1:15" s="258" customFormat="1" ht="20.100000000000001" customHeight="1">
      <c r="A43" s="820" t="s">
        <v>74</v>
      </c>
      <c r="B43" s="832" t="s">
        <v>60</v>
      </c>
      <c r="C43" s="255" t="s">
        <v>9</v>
      </c>
      <c r="D43" s="255" t="s">
        <v>10</v>
      </c>
      <c r="E43" s="255" t="s">
        <v>11</v>
      </c>
      <c r="F43" s="255" t="s">
        <v>3</v>
      </c>
      <c r="G43" s="255" t="s">
        <v>4</v>
      </c>
      <c r="H43" s="255" t="s">
        <v>5</v>
      </c>
      <c r="I43" s="255" t="s">
        <v>12</v>
      </c>
      <c r="J43" s="255"/>
      <c r="K43" s="255"/>
      <c r="L43" s="825">
        <f>SUM(C44:K44)</f>
        <v>706.18000000000006</v>
      </c>
    </row>
    <row r="44" spans="1:15" s="265" customFormat="1" ht="20.100000000000001" customHeight="1">
      <c r="A44" s="821"/>
      <c r="B44" s="833"/>
      <c r="C44" s="261">
        <v>105.89</v>
      </c>
      <c r="D44" s="261">
        <v>97.89</v>
      </c>
      <c r="E44" s="261">
        <v>94.77</v>
      </c>
      <c r="F44" s="261">
        <v>79.95</v>
      </c>
      <c r="G44" s="261">
        <v>85.07</v>
      </c>
      <c r="H44" s="261">
        <v>203.87</v>
      </c>
      <c r="I44" s="261">
        <v>38.74</v>
      </c>
      <c r="J44" s="261"/>
      <c r="K44" s="267"/>
      <c r="L44" s="826"/>
    </row>
    <row r="45" spans="1:15" s="258" customFormat="1" ht="20.100000000000001" customHeight="1" thickBot="1">
      <c r="A45" s="812"/>
      <c r="B45" s="834"/>
      <c r="C45" s="828" t="s">
        <v>973</v>
      </c>
      <c r="D45" s="829"/>
      <c r="E45" s="829"/>
      <c r="F45" s="829"/>
      <c r="G45" s="829"/>
      <c r="H45" s="829"/>
      <c r="I45" s="830"/>
      <c r="J45" s="264"/>
      <c r="K45" s="262"/>
      <c r="L45" s="827"/>
    </row>
    <row r="46" spans="1:15" s="258" customFormat="1" ht="20.100000000000001" customHeight="1">
      <c r="A46" s="820" t="s">
        <v>75</v>
      </c>
      <c r="B46" s="832" t="s">
        <v>60</v>
      </c>
      <c r="C46" s="255" t="s">
        <v>9</v>
      </c>
      <c r="D46" s="255" t="s">
        <v>10</v>
      </c>
      <c r="E46" s="255" t="s">
        <v>11</v>
      </c>
      <c r="F46" s="255" t="s">
        <v>3</v>
      </c>
      <c r="G46" s="255" t="s">
        <v>210</v>
      </c>
      <c r="H46" s="255" t="s">
        <v>5</v>
      </c>
      <c r="I46" s="255" t="s">
        <v>12</v>
      </c>
      <c r="J46" s="255"/>
      <c r="K46" s="255"/>
      <c r="L46" s="840">
        <f>SUM(C47:K47)</f>
        <v>706.18000000000006</v>
      </c>
    </row>
    <row r="47" spans="1:15" s="265" customFormat="1" ht="20.100000000000001" customHeight="1">
      <c r="A47" s="821"/>
      <c r="B47" s="833"/>
      <c r="C47" s="261">
        <v>105.89</v>
      </c>
      <c r="D47" s="261">
        <v>97.89</v>
      </c>
      <c r="E47" s="261">
        <v>94.77</v>
      </c>
      <c r="F47" s="261">
        <v>79.95</v>
      </c>
      <c r="G47" s="261">
        <v>85.07</v>
      </c>
      <c r="H47" s="261">
        <v>203.87</v>
      </c>
      <c r="I47" s="261">
        <v>38.74</v>
      </c>
      <c r="J47" s="261"/>
      <c r="K47" s="267"/>
      <c r="L47" s="841"/>
    </row>
    <row r="48" spans="1:15" s="258" customFormat="1" ht="20.100000000000001" customHeight="1" thickBot="1">
      <c r="A48" s="812"/>
      <c r="B48" s="834"/>
      <c r="C48" s="828" t="s">
        <v>570</v>
      </c>
      <c r="D48" s="829"/>
      <c r="E48" s="829"/>
      <c r="F48" s="829"/>
      <c r="G48" s="829"/>
      <c r="H48" s="829"/>
      <c r="I48" s="830"/>
      <c r="J48" s="264"/>
      <c r="K48" s="262"/>
      <c r="L48" s="842"/>
    </row>
    <row r="49" spans="1:12" s="258" customFormat="1" ht="20.100000000000001" customHeight="1">
      <c r="A49" s="820" t="s">
        <v>76</v>
      </c>
      <c r="B49" s="832" t="s">
        <v>60</v>
      </c>
      <c r="C49" s="255" t="s">
        <v>9</v>
      </c>
      <c r="D49" s="255" t="s">
        <v>10</v>
      </c>
      <c r="E49" s="255" t="s">
        <v>11</v>
      </c>
      <c r="F49" s="269" t="s">
        <v>3</v>
      </c>
      <c r="G49" s="255" t="s">
        <v>4</v>
      </c>
      <c r="H49" s="255" t="s">
        <v>5</v>
      </c>
      <c r="I49" s="255" t="s">
        <v>12</v>
      </c>
      <c r="J49" s="255"/>
      <c r="K49" s="255"/>
      <c r="L49" s="840">
        <f>SUM(C50:K50)</f>
        <v>706.18000000000006</v>
      </c>
    </row>
    <row r="50" spans="1:12" s="265" customFormat="1" ht="20.100000000000001" customHeight="1">
      <c r="A50" s="821"/>
      <c r="B50" s="833"/>
      <c r="C50" s="261">
        <v>105.89</v>
      </c>
      <c r="D50" s="261">
        <v>97.89</v>
      </c>
      <c r="E50" s="261">
        <v>94.77</v>
      </c>
      <c r="F50" s="270">
        <v>79.95</v>
      </c>
      <c r="G50" s="261">
        <v>85.07</v>
      </c>
      <c r="H50" s="261">
        <v>203.87</v>
      </c>
      <c r="I50" s="261">
        <v>38.74</v>
      </c>
      <c r="J50" s="261"/>
      <c r="K50" s="261"/>
      <c r="L50" s="841"/>
    </row>
    <row r="51" spans="1:12" s="258" customFormat="1" ht="20.100000000000001" customHeight="1" thickBot="1">
      <c r="A51" s="812"/>
      <c r="B51" s="834"/>
      <c r="C51" s="296" t="s">
        <v>1144</v>
      </c>
      <c r="D51" s="828" t="s">
        <v>207</v>
      </c>
      <c r="E51" s="830"/>
      <c r="F51" s="271"/>
      <c r="G51" s="272" t="s">
        <v>642</v>
      </c>
      <c r="H51" s="273"/>
      <c r="I51" s="412" t="s">
        <v>1048</v>
      </c>
      <c r="J51" s="264"/>
      <c r="K51" s="264"/>
      <c r="L51" s="842"/>
    </row>
    <row r="52" spans="1:12" s="258" customFormat="1" ht="20.100000000000001" customHeight="1">
      <c r="A52" s="820" t="s">
        <v>77</v>
      </c>
      <c r="B52" s="832" t="s">
        <v>60</v>
      </c>
      <c r="C52" s="255" t="s">
        <v>9</v>
      </c>
      <c r="D52" s="255" t="s">
        <v>10</v>
      </c>
      <c r="E52" s="255" t="s">
        <v>11</v>
      </c>
      <c r="F52" s="255" t="s">
        <v>3</v>
      </c>
      <c r="G52" s="255" t="s">
        <v>4</v>
      </c>
      <c r="H52" s="255" t="s">
        <v>5</v>
      </c>
      <c r="I52" s="255" t="s">
        <v>12</v>
      </c>
      <c r="J52" s="255"/>
      <c r="K52" s="255"/>
      <c r="L52" s="840">
        <f>SUM(C53:K53)</f>
        <v>711.05</v>
      </c>
    </row>
    <row r="53" spans="1:12" s="265" customFormat="1" ht="20.100000000000001" customHeight="1">
      <c r="A53" s="821"/>
      <c r="B53" s="833"/>
      <c r="C53" s="261">
        <v>105.89</v>
      </c>
      <c r="D53" s="261">
        <v>97.89</v>
      </c>
      <c r="E53" s="261">
        <v>94.77</v>
      </c>
      <c r="F53" s="261">
        <v>84.82</v>
      </c>
      <c r="G53" s="261">
        <v>85.07</v>
      </c>
      <c r="H53" s="261">
        <v>203.87</v>
      </c>
      <c r="I53" s="261">
        <v>38.74</v>
      </c>
      <c r="J53" s="261"/>
      <c r="K53" s="261"/>
      <c r="L53" s="841"/>
    </row>
    <row r="54" spans="1:12" s="258" customFormat="1" ht="20.100000000000001" customHeight="1" thickBot="1">
      <c r="A54" s="812"/>
      <c r="B54" s="834"/>
      <c r="C54" s="843" t="s">
        <v>13</v>
      </c>
      <c r="D54" s="844"/>
      <c r="E54" s="844"/>
      <c r="F54" s="844"/>
      <c r="G54" s="844"/>
      <c r="H54" s="844"/>
      <c r="I54" s="845"/>
      <c r="J54" s="264"/>
      <c r="K54" s="264"/>
      <c r="L54" s="842"/>
    </row>
    <row r="55" spans="1:12" s="258" customFormat="1" ht="20.25" customHeight="1">
      <c r="A55" s="820" t="s">
        <v>78</v>
      </c>
      <c r="B55" s="832" t="s">
        <v>60</v>
      </c>
      <c r="C55" s="255" t="s">
        <v>14</v>
      </c>
      <c r="D55" s="255" t="s">
        <v>15</v>
      </c>
      <c r="E55" s="255" t="s">
        <v>16</v>
      </c>
      <c r="F55" s="255" t="s">
        <v>3</v>
      </c>
      <c r="G55" s="255" t="s">
        <v>4</v>
      </c>
      <c r="H55" s="255" t="s">
        <v>5</v>
      </c>
      <c r="I55" s="255" t="s">
        <v>17</v>
      </c>
      <c r="J55" s="255"/>
      <c r="K55" s="263"/>
      <c r="L55" s="825">
        <f>SUM(C56:K56)</f>
        <v>701.19</v>
      </c>
    </row>
    <row r="56" spans="1:12" s="265" customFormat="1" ht="19.5" customHeight="1">
      <c r="A56" s="821"/>
      <c r="B56" s="833"/>
      <c r="C56" s="261">
        <v>105.88</v>
      </c>
      <c r="D56" s="261">
        <v>94.63</v>
      </c>
      <c r="E56" s="261">
        <v>94.36</v>
      </c>
      <c r="F56" s="261">
        <v>82.3</v>
      </c>
      <c r="G56" s="261">
        <v>84.68</v>
      </c>
      <c r="H56" s="261">
        <v>200.6</v>
      </c>
      <c r="I56" s="261">
        <v>38.74</v>
      </c>
      <c r="J56" s="261"/>
      <c r="K56" s="259"/>
      <c r="L56" s="826"/>
    </row>
    <row r="57" spans="1:12" s="258" customFormat="1" ht="19.5" customHeight="1" thickBot="1">
      <c r="A57" s="812"/>
      <c r="B57" s="834"/>
      <c r="C57" s="264" t="s">
        <v>209</v>
      </c>
      <c r="D57" s="828" t="s">
        <v>569</v>
      </c>
      <c r="E57" s="830"/>
      <c r="F57" s="289" t="s">
        <v>758</v>
      </c>
      <c r="G57" s="843" t="s">
        <v>865</v>
      </c>
      <c r="H57" s="845"/>
      <c r="I57" s="264" t="s">
        <v>757</v>
      </c>
      <c r="J57" s="264" t="s">
        <v>611</v>
      </c>
      <c r="K57" s="262"/>
      <c r="L57" s="827"/>
    </row>
    <row r="58" spans="1:12" s="258" customFormat="1" ht="19.5" customHeight="1">
      <c r="A58" s="820" t="s">
        <v>79</v>
      </c>
      <c r="B58" s="822" t="s">
        <v>82</v>
      </c>
      <c r="C58" s="255" t="s">
        <v>3</v>
      </c>
      <c r="D58" s="255" t="s">
        <v>4</v>
      </c>
      <c r="E58" s="255" t="s">
        <v>5</v>
      </c>
      <c r="F58" s="263"/>
      <c r="G58" s="263"/>
      <c r="H58" s="263"/>
      <c r="I58" s="263"/>
      <c r="J58" s="838" t="s">
        <v>1171</v>
      </c>
      <c r="K58" s="839"/>
      <c r="L58" s="825">
        <f>SUM(C59:K59)</f>
        <v>514.16</v>
      </c>
    </row>
    <row r="59" spans="1:12" s="265" customFormat="1" ht="19.5" customHeight="1">
      <c r="A59" s="821"/>
      <c r="B59" s="823"/>
      <c r="C59" s="261">
        <v>192.17</v>
      </c>
      <c r="D59" s="261">
        <v>93.11</v>
      </c>
      <c r="E59" s="261">
        <f>7.02+198.14</f>
        <v>205.16</v>
      </c>
      <c r="F59" s="259"/>
      <c r="G59" s="259"/>
      <c r="H59" s="259"/>
      <c r="I59" s="259"/>
      <c r="J59" s="259"/>
      <c r="K59" s="261">
        <f>9.488+14.232</f>
        <v>23.72</v>
      </c>
      <c r="L59" s="826"/>
    </row>
    <row r="60" spans="1:12" s="258" customFormat="1" ht="19.5" customHeight="1" thickBot="1">
      <c r="A60" s="812"/>
      <c r="B60" s="824"/>
      <c r="C60" s="828" t="s">
        <v>728</v>
      </c>
      <c r="D60" s="829"/>
      <c r="E60" s="830"/>
      <c r="F60" s="262"/>
      <c r="G60" s="262"/>
      <c r="H60" s="262"/>
      <c r="I60" s="262"/>
      <c r="J60" s="262"/>
      <c r="K60" s="264" t="s">
        <v>49</v>
      </c>
      <c r="L60" s="827"/>
    </row>
    <row r="61" spans="1:12" s="258" customFormat="1" ht="19.5" customHeight="1">
      <c r="A61" s="831" t="s">
        <v>80</v>
      </c>
      <c r="B61" s="832" t="s">
        <v>61</v>
      </c>
      <c r="C61" s="274" t="s">
        <v>1173</v>
      </c>
      <c r="D61" s="274" t="s">
        <v>1172</v>
      </c>
      <c r="E61" s="274"/>
      <c r="F61" s="274"/>
      <c r="G61" s="274"/>
      <c r="H61" s="275"/>
      <c r="I61" s="275"/>
      <c r="J61" s="275"/>
      <c r="K61" s="274" t="s">
        <v>1175</v>
      </c>
      <c r="L61" s="835">
        <f>SUM(C62:K62)</f>
        <v>380.87</v>
      </c>
    </row>
    <row r="62" spans="1:12" s="265" customFormat="1" ht="19.5" customHeight="1">
      <c r="A62" s="821"/>
      <c r="B62" s="833"/>
      <c r="C62" s="261">
        <f>27.25+40.87</f>
        <v>68.12</v>
      </c>
      <c r="D62" s="261">
        <f>73.88+110.82</f>
        <v>184.7</v>
      </c>
      <c r="E62" s="267"/>
      <c r="F62" s="261"/>
      <c r="G62" s="261"/>
      <c r="H62" s="259"/>
      <c r="I62" s="259"/>
      <c r="J62" s="259"/>
      <c r="K62" s="261">
        <f>51.22+76.83</f>
        <v>128.05000000000001</v>
      </c>
      <c r="L62" s="826"/>
    </row>
    <row r="63" spans="1:12" s="258" customFormat="1" ht="19.5" customHeight="1" thickBot="1">
      <c r="A63" s="812"/>
      <c r="B63" s="834"/>
      <c r="C63" s="264" t="s">
        <v>595</v>
      </c>
      <c r="D63" s="264" t="s">
        <v>714</v>
      </c>
      <c r="E63" s="262"/>
      <c r="F63" s="264"/>
      <c r="G63" s="264"/>
      <c r="H63" s="262"/>
      <c r="I63" s="262"/>
      <c r="J63" s="836" t="s">
        <v>728</v>
      </c>
      <c r="K63" s="837"/>
      <c r="L63" s="827"/>
    </row>
    <row r="64" spans="1:12" s="258" customFormat="1" ht="19.899999999999999" customHeight="1">
      <c r="A64" s="814" t="s">
        <v>267</v>
      </c>
      <c r="B64" s="815"/>
      <c r="C64" s="276" t="s">
        <v>1204</v>
      </c>
      <c r="D64" s="277"/>
      <c r="E64" s="277"/>
      <c r="F64" s="277"/>
      <c r="G64" s="277"/>
      <c r="H64" s="277"/>
      <c r="I64" s="277"/>
      <c r="J64" s="277"/>
      <c r="K64" s="278" t="s">
        <v>87</v>
      </c>
      <c r="L64" s="279">
        <f>SUM(L4:L63)</f>
        <v>12923.350000000002</v>
      </c>
    </row>
    <row r="65" spans="1:12" s="258" customFormat="1" ht="19.899999999999999" customHeight="1">
      <c r="A65" s="280" t="s">
        <v>83</v>
      </c>
      <c r="B65" s="816" t="s">
        <v>91</v>
      </c>
      <c r="C65" s="819"/>
      <c r="D65" s="819"/>
      <c r="E65" s="819"/>
      <c r="F65" s="819"/>
      <c r="G65" s="819"/>
      <c r="H65" s="819"/>
      <c r="I65" s="819"/>
      <c r="J65" s="819"/>
      <c r="K65" s="819"/>
      <c r="L65" s="281">
        <v>675.51</v>
      </c>
    </row>
    <row r="66" spans="1:12" s="265" customFormat="1" ht="19.899999999999999" customHeight="1">
      <c r="A66" s="280" t="s">
        <v>84</v>
      </c>
      <c r="B66" s="817"/>
      <c r="C66" s="819"/>
      <c r="D66" s="819"/>
      <c r="E66" s="819"/>
      <c r="F66" s="819"/>
      <c r="G66" s="819"/>
      <c r="H66" s="819"/>
      <c r="I66" s="819"/>
      <c r="J66" s="819"/>
      <c r="K66" s="819"/>
      <c r="L66" s="282">
        <v>780.23</v>
      </c>
    </row>
    <row r="67" spans="1:12" s="258" customFormat="1" ht="19.899999999999999" customHeight="1">
      <c r="A67" s="280" t="s">
        <v>85</v>
      </c>
      <c r="B67" s="817"/>
      <c r="C67" s="819"/>
      <c r="D67" s="819"/>
      <c r="E67" s="819"/>
      <c r="F67" s="819"/>
      <c r="G67" s="819"/>
      <c r="H67" s="819"/>
      <c r="I67" s="819"/>
      <c r="J67" s="819"/>
      <c r="K67" s="819"/>
      <c r="L67" s="281">
        <v>780.23</v>
      </c>
    </row>
    <row r="68" spans="1:12" s="258" customFormat="1" ht="19.899999999999999" customHeight="1">
      <c r="A68" s="283" t="s">
        <v>86</v>
      </c>
      <c r="B68" s="818"/>
      <c r="C68" s="819"/>
      <c r="D68" s="819"/>
      <c r="E68" s="819"/>
      <c r="F68" s="819"/>
      <c r="G68" s="819"/>
      <c r="H68" s="819"/>
      <c r="I68" s="819"/>
      <c r="J68" s="819"/>
      <c r="K68" s="819"/>
      <c r="L68" s="281">
        <v>780.23</v>
      </c>
    </row>
    <row r="69" spans="1:12" s="258" customFormat="1" ht="19.899999999999999" customHeight="1" thickBot="1">
      <c r="A69" s="812" t="s">
        <v>88</v>
      </c>
      <c r="B69" s="813"/>
      <c r="C69" s="813"/>
      <c r="D69" s="813"/>
      <c r="E69" s="813"/>
      <c r="F69" s="813"/>
      <c r="G69" s="813"/>
      <c r="H69" s="813"/>
      <c r="I69" s="813"/>
      <c r="J69" s="813"/>
      <c r="K69" s="813"/>
      <c r="L69" s="284">
        <f>L64+L65+L66+L67+L68</f>
        <v>15939.550000000001</v>
      </c>
    </row>
    <row r="70" spans="1:12" s="1" customFormat="1" hidden="1"/>
    <row r="71" spans="1:12" s="1" customFormat="1" ht="19.899999999999999" customHeight="1">
      <c r="A71" s="1" t="s">
        <v>50</v>
      </c>
      <c r="F71" s="1" t="s">
        <v>51</v>
      </c>
      <c r="I71" s="285"/>
      <c r="J71" s="285"/>
      <c r="K71" s="286"/>
    </row>
    <row r="72" spans="1:12" s="1" customFormat="1" ht="19.899999999999999" customHeight="1">
      <c r="A72" s="1" t="s">
        <v>52</v>
      </c>
      <c r="F72" s="1" t="s">
        <v>53</v>
      </c>
      <c r="I72" s="285"/>
      <c r="J72" s="285"/>
      <c r="K72" s="286"/>
    </row>
    <row r="73" spans="1:12" s="1" customFormat="1" ht="19.899999999999999" customHeight="1">
      <c r="A73" s="1" t="s">
        <v>1174</v>
      </c>
      <c r="F73" s="1" t="s">
        <v>54</v>
      </c>
    </row>
    <row r="74" spans="1:12" s="1" customFormat="1" ht="19.899999999999999" customHeight="1">
      <c r="A74" s="850" t="s">
        <v>55</v>
      </c>
      <c r="B74" s="850"/>
      <c r="C74" s="850"/>
      <c r="F74" s="1" t="s">
        <v>56</v>
      </c>
    </row>
    <row r="75" spans="1:12" s="1" customFormat="1" ht="19.899999999999999" customHeight="1">
      <c r="F75" s="1" t="s">
        <v>90</v>
      </c>
    </row>
    <row r="76" spans="1:12" s="1" customFormat="1"/>
  </sheetData>
  <mergeCells count="89">
    <mergeCell ref="A74:C74"/>
    <mergeCell ref="A1:L1"/>
    <mergeCell ref="A4:A6"/>
    <mergeCell ref="B4:B6"/>
    <mergeCell ref="L4:L6"/>
    <mergeCell ref="A7:A9"/>
    <mergeCell ref="B7:B9"/>
    <mergeCell ref="L7:L9"/>
    <mergeCell ref="C9:D9"/>
    <mergeCell ref="A10:A12"/>
    <mergeCell ref="B10:B12"/>
    <mergeCell ref="L10:L12"/>
    <mergeCell ref="C12:E12"/>
    <mergeCell ref="A13:A15"/>
    <mergeCell ref="B13:B15"/>
    <mergeCell ref="L13:L15"/>
    <mergeCell ref="A16:A18"/>
    <mergeCell ref="B16:B18"/>
    <mergeCell ref="L16:L18"/>
    <mergeCell ref="D18:E18"/>
    <mergeCell ref="A19:A21"/>
    <mergeCell ref="B19:B21"/>
    <mergeCell ref="L19:L21"/>
    <mergeCell ref="C21:E21"/>
    <mergeCell ref="A22:A24"/>
    <mergeCell ref="B22:B24"/>
    <mergeCell ref="L22:L24"/>
    <mergeCell ref="A25:A27"/>
    <mergeCell ref="B25:B27"/>
    <mergeCell ref="L25:L27"/>
    <mergeCell ref="D27:E27"/>
    <mergeCell ref="F24:H24"/>
    <mergeCell ref="G27:H27"/>
    <mergeCell ref="A28:A30"/>
    <mergeCell ref="B28:B30"/>
    <mergeCell ref="L28:L30"/>
    <mergeCell ref="C30:I30"/>
    <mergeCell ref="A31:A33"/>
    <mergeCell ref="B31:B33"/>
    <mergeCell ref="L31:L33"/>
    <mergeCell ref="E33:H33"/>
    <mergeCell ref="A34:A36"/>
    <mergeCell ref="B34:B36"/>
    <mergeCell ref="L34:L36"/>
    <mergeCell ref="A37:A39"/>
    <mergeCell ref="B37:B39"/>
    <mergeCell ref="L37:L39"/>
    <mergeCell ref="F39:G39"/>
    <mergeCell ref="A40:A42"/>
    <mergeCell ref="B40:B42"/>
    <mergeCell ref="L40:L42"/>
    <mergeCell ref="C42:I42"/>
    <mergeCell ref="A43:A45"/>
    <mergeCell ref="B43:B45"/>
    <mergeCell ref="L43:L45"/>
    <mergeCell ref="C45:I45"/>
    <mergeCell ref="A46:A48"/>
    <mergeCell ref="B46:B48"/>
    <mergeCell ref="L46:L48"/>
    <mergeCell ref="C48:I48"/>
    <mergeCell ref="A49:A51"/>
    <mergeCell ref="B49:B51"/>
    <mergeCell ref="L49:L51"/>
    <mergeCell ref="D51:E51"/>
    <mergeCell ref="A52:A54"/>
    <mergeCell ref="B52:B54"/>
    <mergeCell ref="L52:L54"/>
    <mergeCell ref="C54:I54"/>
    <mergeCell ref="A55:A57"/>
    <mergeCell ref="B55:B57"/>
    <mergeCell ref="L55:L57"/>
    <mergeCell ref="D57:E57"/>
    <mergeCell ref="G57:H57"/>
    <mergeCell ref="A58:A60"/>
    <mergeCell ref="B58:B60"/>
    <mergeCell ref="L58:L60"/>
    <mergeCell ref="C60:E60"/>
    <mergeCell ref="A61:A63"/>
    <mergeCell ref="B61:B63"/>
    <mergeCell ref="L61:L63"/>
    <mergeCell ref="J63:K63"/>
    <mergeCell ref="J58:K58"/>
    <mergeCell ref="A69:K69"/>
    <mergeCell ref="A64:B64"/>
    <mergeCell ref="B65:B68"/>
    <mergeCell ref="C65:K65"/>
    <mergeCell ref="C66:K66"/>
    <mergeCell ref="C67:K67"/>
    <mergeCell ref="C68:K68"/>
  </mergeCells>
  <phoneticPr fontId="2" type="noConversion"/>
  <printOptions horizontalCentered="1"/>
  <pageMargins left="0" right="0" top="0.35433070866141736" bottom="0.15748031496062992" header="0.31496062992125984" footer="0.31496062992125984"/>
  <pageSetup paperSize="9"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M101"/>
  <sheetViews>
    <sheetView view="pageBreakPreview" topLeftCell="A10" zoomScale="80" zoomScaleNormal="80" zoomScaleSheetLayoutView="80" workbookViewId="0">
      <selection activeCell="E40" sqref="E40"/>
    </sheetView>
  </sheetViews>
  <sheetFormatPr defaultColWidth="9" defaultRowHeight="15"/>
  <cols>
    <col min="1" max="1" width="9" style="343" customWidth="1"/>
    <col min="2" max="2" width="10.625" style="343" customWidth="1"/>
    <col min="3" max="3" width="17" style="343" customWidth="1"/>
    <col min="4" max="4" width="11.5" style="343" customWidth="1"/>
    <col min="5" max="5" width="19.5" style="343" customWidth="1"/>
    <col min="6" max="6" width="11.75" style="343" customWidth="1"/>
    <col min="7" max="7" width="20.125" style="343" customWidth="1"/>
    <col min="8" max="8" width="11.375" style="343" customWidth="1"/>
    <col min="9" max="9" width="19.375" style="343" customWidth="1"/>
    <col min="10" max="13" width="9" style="343"/>
    <col min="14" max="14" width="3.875" style="343" customWidth="1"/>
    <col min="15" max="16384" width="9" style="343"/>
  </cols>
  <sheetData>
    <row r="2" spans="1:10" s="636" customFormat="1" ht="25.9" customHeight="1">
      <c r="A2" s="858" t="s">
        <v>1158</v>
      </c>
      <c r="B2" s="858"/>
      <c r="C2" s="858"/>
      <c r="D2" s="858"/>
      <c r="E2" s="858"/>
      <c r="F2" s="858"/>
      <c r="G2" s="858"/>
      <c r="H2" s="858"/>
      <c r="I2" s="858"/>
    </row>
    <row r="3" spans="1:10" s="328" customFormat="1" ht="24">
      <c r="A3" s="859" t="s">
        <v>895</v>
      </c>
      <c r="B3" s="859"/>
      <c r="C3" s="859"/>
      <c r="D3" s="859"/>
      <c r="E3" s="859"/>
      <c r="F3" s="859"/>
      <c r="G3" s="859"/>
      <c r="H3" s="859"/>
      <c r="I3" s="859"/>
    </row>
    <row r="4" spans="1:10" s="328" customFormat="1" ht="18.600000000000001" customHeight="1" thickBot="1">
      <c r="A4" s="344"/>
      <c r="B4" s="329"/>
      <c r="C4" s="344" t="s">
        <v>723</v>
      </c>
      <c r="D4" s="330"/>
      <c r="E4" s="324"/>
      <c r="F4" s="324"/>
      <c r="G4" s="324"/>
      <c r="H4" s="324"/>
      <c r="I4" s="331">
        <f ca="1">TODAY()</f>
        <v>46030</v>
      </c>
    </row>
    <row r="5" spans="1:10" s="328" customFormat="1" ht="20.45" customHeight="1" thickTop="1">
      <c r="A5" s="332" t="s">
        <v>92</v>
      </c>
      <c r="B5" s="333" t="s">
        <v>93</v>
      </c>
      <c r="C5" s="333" t="s">
        <v>94</v>
      </c>
      <c r="D5" s="637" t="s">
        <v>95</v>
      </c>
      <c r="E5" s="563" t="s">
        <v>96</v>
      </c>
      <c r="F5" s="638" t="s">
        <v>97</v>
      </c>
      <c r="G5" s="563" t="s">
        <v>96</v>
      </c>
      <c r="H5" s="638" t="s">
        <v>98</v>
      </c>
      <c r="I5" s="563" t="s">
        <v>96</v>
      </c>
    </row>
    <row r="6" spans="1:10" s="328" customFormat="1" ht="20.45" customHeight="1">
      <c r="A6" s="860" t="s">
        <v>823</v>
      </c>
      <c r="B6" s="861"/>
      <c r="C6" s="245" t="s">
        <v>713</v>
      </c>
      <c r="D6" s="6" t="s">
        <v>1138</v>
      </c>
      <c r="E6" s="565" t="s">
        <v>959</v>
      </c>
      <c r="F6" s="639"/>
      <c r="G6" s="565"/>
      <c r="H6" s="70"/>
      <c r="I6" s="564"/>
    </row>
    <row r="7" spans="1:10" s="328" customFormat="1" ht="20.45" customHeight="1">
      <c r="A7" s="334" t="s">
        <v>594</v>
      </c>
      <c r="B7" s="6" t="s">
        <v>210</v>
      </c>
      <c r="C7" s="5" t="s">
        <v>595</v>
      </c>
      <c r="D7" s="6" t="s">
        <v>620</v>
      </c>
      <c r="E7" s="565" t="s">
        <v>720</v>
      </c>
      <c r="F7" s="70" t="s">
        <v>721</v>
      </c>
      <c r="G7" s="564" t="s">
        <v>722</v>
      </c>
      <c r="H7" s="70"/>
      <c r="I7" s="564"/>
    </row>
    <row r="8" spans="1:10" s="328" customFormat="1" ht="20.45" customHeight="1">
      <c r="A8" s="334" t="s">
        <v>594</v>
      </c>
      <c r="B8" s="6" t="s">
        <v>101</v>
      </c>
      <c r="C8" s="5" t="s">
        <v>714</v>
      </c>
      <c r="D8" s="6" t="s">
        <v>715</v>
      </c>
      <c r="E8" s="565" t="s">
        <v>716</v>
      </c>
      <c r="F8" s="70" t="s">
        <v>717</v>
      </c>
      <c r="G8" s="564" t="s">
        <v>718</v>
      </c>
      <c r="H8" s="70"/>
      <c r="I8" s="564"/>
    </row>
    <row r="9" spans="1:10" s="328" customFormat="1" ht="20.45" customHeight="1">
      <c r="A9" s="334" t="s">
        <v>703</v>
      </c>
      <c r="B9" s="6" t="s">
        <v>119</v>
      </c>
      <c r="C9" s="245" t="s">
        <v>648</v>
      </c>
      <c r="D9" s="6" t="s">
        <v>709</v>
      </c>
      <c r="E9" s="565" t="s">
        <v>710</v>
      </c>
      <c r="F9" s="323" t="s">
        <v>711</v>
      </c>
      <c r="G9" s="565" t="s">
        <v>712</v>
      </c>
      <c r="H9" s="323"/>
      <c r="I9" s="565"/>
      <c r="J9" s="335"/>
    </row>
    <row r="10" spans="1:10" s="328" customFormat="1" ht="20.45" customHeight="1">
      <c r="A10" s="334" t="s">
        <v>99</v>
      </c>
      <c r="B10" s="6" t="s">
        <v>177</v>
      </c>
      <c r="C10" s="245" t="s">
        <v>193</v>
      </c>
      <c r="D10" s="7" t="s">
        <v>1187</v>
      </c>
      <c r="E10" s="565" t="s">
        <v>1186</v>
      </c>
      <c r="F10" s="639" t="s">
        <v>768</v>
      </c>
      <c r="G10" s="565" t="s">
        <v>1185</v>
      </c>
      <c r="H10" s="323" t="s">
        <v>1073</v>
      </c>
      <c r="I10" s="565" t="s">
        <v>1074</v>
      </c>
      <c r="J10" s="335"/>
    </row>
    <row r="11" spans="1:10" s="328" customFormat="1" ht="20.45" customHeight="1">
      <c r="A11" s="334" t="s">
        <v>99</v>
      </c>
      <c r="B11" s="6" t="s">
        <v>214</v>
      </c>
      <c r="C11" s="5" t="s">
        <v>215</v>
      </c>
      <c r="D11" s="6" t="s">
        <v>963</v>
      </c>
      <c r="E11" s="565" t="s">
        <v>962</v>
      </c>
      <c r="F11" s="639" t="s">
        <v>694</v>
      </c>
      <c r="G11" s="565" t="s">
        <v>213</v>
      </c>
      <c r="H11" s="639"/>
      <c r="I11" s="565"/>
      <c r="J11" s="335"/>
    </row>
    <row r="12" spans="1:10" s="328" customFormat="1" ht="20.45" customHeight="1">
      <c r="A12" s="334" t="s">
        <v>99</v>
      </c>
      <c r="B12" s="6" t="s">
        <v>192</v>
      </c>
      <c r="C12" s="5" t="s">
        <v>207</v>
      </c>
      <c r="D12" s="6" t="s">
        <v>772</v>
      </c>
      <c r="E12" s="565" t="s">
        <v>793</v>
      </c>
      <c r="F12" s="639" t="s">
        <v>179</v>
      </c>
      <c r="G12" s="565" t="s">
        <v>178</v>
      </c>
      <c r="H12" s="639"/>
      <c r="I12" s="565"/>
    </row>
    <row r="13" spans="1:10" s="328" customFormat="1" ht="20.45" customHeight="1">
      <c r="A13" s="334" t="s">
        <v>106</v>
      </c>
      <c r="B13" s="336" t="s">
        <v>332</v>
      </c>
      <c r="C13" s="8" t="s">
        <v>102</v>
      </c>
      <c r="D13" s="9" t="s">
        <v>100</v>
      </c>
      <c r="E13" s="568" t="s">
        <v>103</v>
      </c>
      <c r="F13" s="640" t="s">
        <v>104</v>
      </c>
      <c r="G13" s="568" t="s">
        <v>105</v>
      </c>
      <c r="H13" s="644"/>
      <c r="I13" s="566"/>
    </row>
    <row r="14" spans="1:10" s="328" customFormat="1" ht="20.45" customHeight="1">
      <c r="A14" s="334" t="s">
        <v>107</v>
      </c>
      <c r="B14" s="9" t="s">
        <v>1156</v>
      </c>
      <c r="C14" s="587" t="s">
        <v>822</v>
      </c>
      <c r="D14" s="227" t="s">
        <v>675</v>
      </c>
      <c r="E14" s="567" t="s">
        <v>676</v>
      </c>
      <c r="F14" s="641" t="s">
        <v>677</v>
      </c>
      <c r="G14" s="567" t="s">
        <v>678</v>
      </c>
      <c r="H14" s="653" t="s">
        <v>679</v>
      </c>
      <c r="I14" s="567" t="s">
        <v>682</v>
      </c>
      <c r="J14" s="337"/>
    </row>
    <row r="15" spans="1:10" s="328" customFormat="1" ht="20.45" customHeight="1">
      <c r="A15" s="334" t="s">
        <v>1056</v>
      </c>
      <c r="B15" s="9" t="s">
        <v>1057</v>
      </c>
      <c r="C15" s="8" t="s">
        <v>1058</v>
      </c>
      <c r="D15" s="227" t="s">
        <v>1059</v>
      </c>
      <c r="E15" s="567" t="s">
        <v>1054</v>
      </c>
      <c r="F15" s="641"/>
      <c r="G15" s="567"/>
      <c r="H15" s="653"/>
      <c r="I15" s="567"/>
      <c r="J15" s="337"/>
    </row>
    <row r="16" spans="1:10" s="328" customFormat="1" ht="20.45" customHeight="1">
      <c r="A16" s="334" t="s">
        <v>968</v>
      </c>
      <c r="B16" s="244" t="s">
        <v>182</v>
      </c>
      <c r="C16" s="8" t="s">
        <v>171</v>
      </c>
      <c r="D16" s="9" t="s">
        <v>108</v>
      </c>
      <c r="E16" s="568" t="s">
        <v>109</v>
      </c>
      <c r="F16" s="640" t="s">
        <v>680</v>
      </c>
      <c r="G16" s="568" t="s">
        <v>681</v>
      </c>
      <c r="H16" s="640" t="s">
        <v>794</v>
      </c>
      <c r="I16" s="568" t="s">
        <v>795</v>
      </c>
    </row>
    <row r="17" spans="1:13" s="328" customFormat="1" ht="20.45" customHeight="1">
      <c r="A17" s="334" t="s">
        <v>966</v>
      </c>
      <c r="B17" s="244" t="s">
        <v>182</v>
      </c>
      <c r="C17" s="246" t="s">
        <v>203</v>
      </c>
      <c r="D17" s="562" t="s">
        <v>1028</v>
      </c>
      <c r="E17" s="568" t="s">
        <v>1029</v>
      </c>
      <c r="F17" s="642" t="s">
        <v>1160</v>
      </c>
      <c r="G17" s="568" t="s">
        <v>1030</v>
      </c>
      <c r="H17" s="640"/>
      <c r="I17" s="568"/>
    </row>
    <row r="18" spans="1:13" s="328" customFormat="1" ht="21.75" customHeight="1">
      <c r="A18" s="334" t="s">
        <v>651</v>
      </c>
      <c r="B18" s="336" t="s">
        <v>182</v>
      </c>
      <c r="C18" s="5" t="s">
        <v>652</v>
      </c>
      <c r="D18" s="345" t="s">
        <v>731</v>
      </c>
      <c r="E18" s="651" t="s">
        <v>836</v>
      </c>
      <c r="F18" s="643" t="s">
        <v>1161</v>
      </c>
      <c r="G18" s="651" t="s">
        <v>821</v>
      </c>
      <c r="H18" s="639" t="s">
        <v>737</v>
      </c>
      <c r="I18" s="565" t="s">
        <v>736</v>
      </c>
    </row>
    <row r="19" spans="1:13" s="339" customFormat="1" ht="20.25" customHeight="1">
      <c r="A19" s="338" t="s">
        <v>157</v>
      </c>
      <c r="B19" s="10" t="s">
        <v>158</v>
      </c>
      <c r="C19" s="327" t="s">
        <v>138</v>
      </c>
      <c r="D19" s="10" t="s">
        <v>115</v>
      </c>
      <c r="E19" s="566" t="s">
        <v>116</v>
      </c>
      <c r="F19" s="644" t="s">
        <v>117</v>
      </c>
      <c r="G19" s="566" t="s">
        <v>118</v>
      </c>
      <c r="H19" s="644"/>
      <c r="I19" s="566"/>
      <c r="J19" s="328"/>
      <c r="K19" s="328"/>
      <c r="L19" s="328"/>
      <c r="M19" s="328"/>
    </row>
    <row r="20" spans="1:13" s="328" customFormat="1" ht="20.45" customHeight="1">
      <c r="A20" s="334" t="s">
        <v>120</v>
      </c>
      <c r="B20" s="6" t="s">
        <v>210</v>
      </c>
      <c r="C20" s="8" t="s">
        <v>206</v>
      </c>
      <c r="D20" s="10" t="s">
        <v>947</v>
      </c>
      <c r="E20" s="566" t="s">
        <v>955</v>
      </c>
      <c r="F20" s="644" t="s">
        <v>956</v>
      </c>
      <c r="G20" s="566" t="s">
        <v>957</v>
      </c>
      <c r="H20" s="323"/>
      <c r="I20" s="565"/>
    </row>
    <row r="21" spans="1:13" s="328" customFormat="1" ht="20.45" customHeight="1">
      <c r="A21" s="334" t="s">
        <v>120</v>
      </c>
      <c r="B21" s="6" t="s">
        <v>121</v>
      </c>
      <c r="C21" s="587" t="s">
        <v>822</v>
      </c>
      <c r="D21" s="227" t="s">
        <v>675</v>
      </c>
      <c r="E21" s="567" t="s">
        <v>676</v>
      </c>
      <c r="F21" s="641" t="s">
        <v>677</v>
      </c>
      <c r="G21" s="567" t="s">
        <v>678</v>
      </c>
      <c r="H21" s="653" t="s">
        <v>679</v>
      </c>
      <c r="I21" s="567" t="s">
        <v>682</v>
      </c>
    </row>
    <row r="22" spans="1:13" s="328" customFormat="1" ht="20.45" customHeight="1">
      <c r="A22" s="334" t="s">
        <v>157</v>
      </c>
      <c r="B22" s="6" t="s">
        <v>177</v>
      </c>
      <c r="C22" s="8" t="s">
        <v>1176</v>
      </c>
      <c r="D22" s="9" t="s">
        <v>616</v>
      </c>
      <c r="E22" s="568" t="s">
        <v>735</v>
      </c>
      <c r="F22" s="640" t="s">
        <v>1070</v>
      </c>
      <c r="G22" s="568" t="s">
        <v>843</v>
      </c>
      <c r="H22" s="654"/>
      <c r="I22" s="569"/>
    </row>
    <row r="23" spans="1:13" s="328" customFormat="1" ht="20.45" customHeight="1">
      <c r="A23" s="334" t="s">
        <v>157</v>
      </c>
      <c r="B23" s="6" t="s">
        <v>119</v>
      </c>
      <c r="C23" s="8" t="s">
        <v>122</v>
      </c>
      <c r="D23" s="9" t="s">
        <v>123</v>
      </c>
      <c r="E23" s="568" t="s">
        <v>124</v>
      </c>
      <c r="F23" s="640" t="s">
        <v>125</v>
      </c>
      <c r="G23" s="565" t="s">
        <v>126</v>
      </c>
      <c r="H23" s="655" t="s">
        <v>816</v>
      </c>
      <c r="I23" s="565" t="s">
        <v>817</v>
      </c>
    </row>
    <row r="24" spans="1:13" s="328" customFormat="1" ht="20.45" customHeight="1">
      <c r="A24" s="334" t="s">
        <v>141</v>
      </c>
      <c r="B24" s="6" t="s">
        <v>942</v>
      </c>
      <c r="C24" s="8" t="s">
        <v>142</v>
      </c>
      <c r="D24" s="9" t="s">
        <v>553</v>
      </c>
      <c r="E24" s="568" t="s">
        <v>554</v>
      </c>
      <c r="F24" s="640" t="s">
        <v>555</v>
      </c>
      <c r="G24" s="565" t="s">
        <v>556</v>
      </c>
      <c r="H24" s="323" t="s">
        <v>557</v>
      </c>
      <c r="I24" s="565" t="s">
        <v>558</v>
      </c>
    </row>
    <row r="25" spans="1:13" s="328" customFormat="1" ht="20.45" customHeight="1">
      <c r="A25" s="334" t="s">
        <v>141</v>
      </c>
      <c r="B25" s="6" t="s">
        <v>210</v>
      </c>
      <c r="C25" s="8" t="s">
        <v>940</v>
      </c>
      <c r="D25" s="9" t="s">
        <v>1177</v>
      </c>
      <c r="E25" s="565" t="s">
        <v>1178</v>
      </c>
      <c r="F25" s="9" t="s">
        <v>949</v>
      </c>
      <c r="G25" s="565" t="s">
        <v>950</v>
      </c>
      <c r="H25" s="323"/>
      <c r="I25" s="565"/>
      <c r="J25" s="357"/>
    </row>
    <row r="26" spans="1:13" s="328" customFormat="1" ht="20.45" customHeight="1">
      <c r="A26" s="334" t="s">
        <v>71</v>
      </c>
      <c r="B26" s="6" t="s">
        <v>2</v>
      </c>
      <c r="C26" s="8" t="s">
        <v>953</v>
      </c>
      <c r="D26" s="9" t="s">
        <v>1024</v>
      </c>
      <c r="E26" s="568" t="s">
        <v>1025</v>
      </c>
      <c r="F26" s="640" t="s">
        <v>1026</v>
      </c>
      <c r="G26" s="568" t="s">
        <v>1027</v>
      </c>
      <c r="H26" s="323"/>
      <c r="I26" s="565"/>
    </row>
    <row r="27" spans="1:13" s="328" customFormat="1" ht="20.45" customHeight="1">
      <c r="A27" s="334" t="s">
        <v>141</v>
      </c>
      <c r="B27" s="6" t="s">
        <v>121</v>
      </c>
      <c r="C27" s="5" t="s">
        <v>151</v>
      </c>
      <c r="D27" s="9" t="s">
        <v>644</v>
      </c>
      <c r="E27" s="568" t="s">
        <v>645</v>
      </c>
      <c r="F27" s="640" t="s">
        <v>646</v>
      </c>
      <c r="G27" s="565" t="s">
        <v>647</v>
      </c>
      <c r="H27" s="323" t="s">
        <v>683</v>
      </c>
      <c r="I27" s="565" t="s">
        <v>684</v>
      </c>
    </row>
    <row r="28" spans="1:13" s="328" customFormat="1" ht="20.45" customHeight="1">
      <c r="A28" s="334" t="s">
        <v>141</v>
      </c>
      <c r="B28" s="6" t="s">
        <v>177</v>
      </c>
      <c r="C28" s="5" t="s">
        <v>156</v>
      </c>
      <c r="D28" s="9" t="s">
        <v>818</v>
      </c>
      <c r="E28" s="565" t="s">
        <v>819</v>
      </c>
      <c r="F28" s="323" t="s">
        <v>866</v>
      </c>
      <c r="G28" s="565" t="s">
        <v>867</v>
      </c>
      <c r="H28" s="323"/>
      <c r="I28" s="565"/>
      <c r="J28" s="335"/>
    </row>
    <row r="29" spans="1:13" s="328" customFormat="1" ht="28.9" customHeight="1" thickBot="1">
      <c r="A29" s="577" t="s">
        <v>141</v>
      </c>
      <c r="B29" s="578" t="s">
        <v>119</v>
      </c>
      <c r="C29" s="579" t="s">
        <v>1157</v>
      </c>
      <c r="D29" s="578" t="s">
        <v>1199</v>
      </c>
      <c r="E29" s="580" t="s">
        <v>1200</v>
      </c>
      <c r="F29" s="645" t="s">
        <v>813</v>
      </c>
      <c r="G29" s="580" t="s">
        <v>814</v>
      </c>
      <c r="H29" s="645" t="s">
        <v>176</v>
      </c>
      <c r="I29" s="580" t="s">
        <v>175</v>
      </c>
      <c r="J29" s="340"/>
      <c r="K29" s="340"/>
    </row>
    <row r="30" spans="1:13" s="328" customFormat="1" ht="20.45" customHeight="1" thickTop="1">
      <c r="A30" s="573" t="s">
        <v>153</v>
      </c>
      <c r="B30" s="574" t="s">
        <v>154</v>
      </c>
      <c r="C30" s="575" t="s">
        <v>136</v>
      </c>
      <c r="D30" s="576" t="s">
        <v>868</v>
      </c>
      <c r="E30" s="652" t="s">
        <v>869</v>
      </c>
      <c r="F30" s="646" t="s">
        <v>597</v>
      </c>
      <c r="G30" s="652" t="s">
        <v>870</v>
      </c>
      <c r="H30" s="656"/>
      <c r="I30" s="566"/>
      <c r="J30" s="335"/>
    </row>
    <row r="31" spans="1:13" s="328" customFormat="1" ht="20.45" customHeight="1">
      <c r="A31" s="341" t="s">
        <v>1018</v>
      </c>
      <c r="B31" s="228" t="s">
        <v>1019</v>
      </c>
      <c r="C31" s="8" t="s">
        <v>1020</v>
      </c>
      <c r="D31" s="90" t="s">
        <v>1039</v>
      </c>
      <c r="E31" s="564" t="s">
        <v>1033</v>
      </c>
      <c r="F31" s="647" t="s">
        <v>1034</v>
      </c>
      <c r="G31" s="564" t="s">
        <v>1035</v>
      </c>
      <c r="H31" s="640" t="s">
        <v>1036</v>
      </c>
      <c r="I31" s="568" t="s">
        <v>1037</v>
      </c>
      <c r="J31" s="342"/>
    </row>
    <row r="32" spans="1:13" s="328" customFormat="1" ht="20.45" customHeight="1">
      <c r="A32" s="341" t="s">
        <v>70</v>
      </c>
      <c r="B32" s="228" t="s">
        <v>12</v>
      </c>
      <c r="C32" s="8" t="s">
        <v>1090</v>
      </c>
      <c r="D32" s="90" t="s">
        <v>1180</v>
      </c>
      <c r="E32" s="564" t="s">
        <v>1181</v>
      </c>
      <c r="F32" s="647"/>
      <c r="G32" s="564"/>
      <c r="H32" s="640"/>
      <c r="I32" s="568"/>
      <c r="J32" s="342"/>
    </row>
    <row r="33" spans="1:10" s="328" customFormat="1" ht="20.45" customHeight="1">
      <c r="A33" s="334" t="s">
        <v>183</v>
      </c>
      <c r="B33" s="6" t="s">
        <v>110</v>
      </c>
      <c r="C33" s="5" t="s">
        <v>1135</v>
      </c>
      <c r="D33" s="6" t="s">
        <v>111</v>
      </c>
      <c r="E33" s="565" t="s">
        <v>112</v>
      </c>
      <c r="F33" s="639" t="s">
        <v>113</v>
      </c>
      <c r="G33" s="565" t="s">
        <v>114</v>
      </c>
      <c r="H33" s="639"/>
      <c r="I33" s="565"/>
      <c r="J33" s="335"/>
    </row>
    <row r="34" spans="1:10" s="328" customFormat="1" ht="20.45" customHeight="1">
      <c r="A34" s="334" t="s">
        <v>194</v>
      </c>
      <c r="B34" s="6" t="s">
        <v>1008</v>
      </c>
      <c r="C34" s="8" t="s">
        <v>1009</v>
      </c>
      <c r="D34" s="9" t="s">
        <v>1031</v>
      </c>
      <c r="E34" s="564" t="s">
        <v>1032</v>
      </c>
      <c r="F34" s="639"/>
      <c r="G34" s="565"/>
      <c r="H34" s="639"/>
      <c r="I34" s="565"/>
      <c r="J34" s="335"/>
    </row>
    <row r="35" spans="1:10" s="328" customFormat="1" ht="20.45" customHeight="1">
      <c r="A35" s="334" t="s">
        <v>194</v>
      </c>
      <c r="B35" s="6" t="s">
        <v>101</v>
      </c>
      <c r="C35" s="8" t="s">
        <v>688</v>
      </c>
      <c r="D35" s="227" t="s">
        <v>695</v>
      </c>
      <c r="E35" s="567" t="s">
        <v>704</v>
      </c>
      <c r="F35" s="648" t="s">
        <v>943</v>
      </c>
      <c r="G35" s="570" t="s">
        <v>945</v>
      </c>
      <c r="H35" s="648" t="s">
        <v>944</v>
      </c>
      <c r="I35" s="570" t="s">
        <v>946</v>
      </c>
      <c r="J35" s="335"/>
    </row>
    <row r="36" spans="1:10" s="328" customFormat="1" ht="20.45" customHeight="1">
      <c r="A36" s="334" t="s">
        <v>194</v>
      </c>
      <c r="B36" s="6" t="s">
        <v>195</v>
      </c>
      <c r="C36" s="8" t="s">
        <v>181</v>
      </c>
      <c r="D36" s="6" t="s">
        <v>196</v>
      </c>
      <c r="E36" s="568" t="s">
        <v>197</v>
      </c>
      <c r="F36" s="639" t="s">
        <v>617</v>
      </c>
      <c r="G36" s="565" t="s">
        <v>198</v>
      </c>
      <c r="H36" s="323" t="s">
        <v>199</v>
      </c>
      <c r="I36" s="565" t="s">
        <v>1136</v>
      </c>
      <c r="J36" s="342"/>
    </row>
    <row r="37" spans="1:10" s="328" customFormat="1" ht="20.45" customHeight="1">
      <c r="A37" s="334" t="s">
        <v>194</v>
      </c>
      <c r="B37" s="6" t="s">
        <v>177</v>
      </c>
      <c r="C37" s="8" t="s">
        <v>1061</v>
      </c>
      <c r="D37" s="9" t="s">
        <v>1062</v>
      </c>
      <c r="E37" s="568" t="s">
        <v>1084</v>
      </c>
      <c r="F37" s="639" t="s">
        <v>1085</v>
      </c>
      <c r="G37" s="565" t="s">
        <v>1086</v>
      </c>
      <c r="H37" s="323" t="s">
        <v>1087</v>
      </c>
      <c r="I37" s="565" t="s">
        <v>1088</v>
      </c>
      <c r="J37" s="342"/>
    </row>
    <row r="38" spans="1:10" s="328" customFormat="1" ht="20.45" customHeight="1">
      <c r="A38" s="334" t="s">
        <v>194</v>
      </c>
      <c r="B38" s="6" t="s">
        <v>119</v>
      </c>
      <c r="C38" s="8" t="s">
        <v>1000</v>
      </c>
      <c r="D38" s="9" t="s">
        <v>1012</v>
      </c>
      <c r="E38" s="567" t="s">
        <v>1013</v>
      </c>
      <c r="F38" s="639" t="s">
        <v>1014</v>
      </c>
      <c r="G38" s="565" t="s">
        <v>1015</v>
      </c>
      <c r="H38" s="657" t="s">
        <v>1016</v>
      </c>
      <c r="I38" s="568" t="s">
        <v>1017</v>
      </c>
      <c r="J38" s="342"/>
    </row>
    <row r="39" spans="1:10" s="328" customFormat="1" ht="20.45" customHeight="1">
      <c r="A39" s="334" t="s">
        <v>186</v>
      </c>
      <c r="B39" s="6" t="s">
        <v>192</v>
      </c>
      <c r="C39" s="246" t="s">
        <v>662</v>
      </c>
      <c r="D39" s="9" t="s">
        <v>1202</v>
      </c>
      <c r="E39" s="567" t="s">
        <v>1198</v>
      </c>
      <c r="F39" s="323" t="s">
        <v>724</v>
      </c>
      <c r="G39" s="565" t="s">
        <v>725</v>
      </c>
      <c r="H39" s="640"/>
      <c r="I39" s="568"/>
      <c r="J39" s="342"/>
    </row>
    <row r="40" spans="1:10" s="328" customFormat="1" ht="20.45" customHeight="1">
      <c r="A40" s="334" t="s">
        <v>67</v>
      </c>
      <c r="B40" s="6" t="s">
        <v>11</v>
      </c>
      <c r="C40" s="8" t="s">
        <v>797</v>
      </c>
      <c r="D40" s="9" t="s">
        <v>754</v>
      </c>
      <c r="E40" s="568" t="s">
        <v>755</v>
      </c>
      <c r="F40" s="639"/>
      <c r="G40" s="565"/>
      <c r="H40" s="667" t="s">
        <v>1181</v>
      </c>
      <c r="I40" s="565"/>
      <c r="J40" s="342"/>
    </row>
    <row r="41" spans="1:10" s="328" customFormat="1" ht="20.45" customHeight="1">
      <c r="A41" s="334" t="s">
        <v>186</v>
      </c>
      <c r="B41" s="6" t="s">
        <v>121</v>
      </c>
      <c r="C41" s="8" t="s">
        <v>727</v>
      </c>
      <c r="D41" s="9" t="s">
        <v>741</v>
      </c>
      <c r="E41" s="568" t="s">
        <v>742</v>
      </c>
      <c r="F41" s="639"/>
      <c r="G41" s="565"/>
      <c r="H41" s="323"/>
      <c r="I41" s="565"/>
      <c r="J41" s="342"/>
    </row>
    <row r="42" spans="1:10" s="328" customFormat="1" ht="20.45" customHeight="1">
      <c r="A42" s="334" t="s">
        <v>186</v>
      </c>
      <c r="B42" s="6" t="s">
        <v>177</v>
      </c>
      <c r="C42" s="246" t="s">
        <v>497</v>
      </c>
      <c r="D42" s="9" t="s">
        <v>707</v>
      </c>
      <c r="E42" s="568" t="s">
        <v>708</v>
      </c>
      <c r="F42" s="640" t="s">
        <v>705</v>
      </c>
      <c r="G42" s="568" t="s">
        <v>706</v>
      </c>
      <c r="H42" s="323"/>
      <c r="I42" s="571"/>
      <c r="J42" s="342"/>
    </row>
    <row r="43" spans="1:10" s="328" customFormat="1" ht="20.45" customHeight="1">
      <c r="A43" s="334" t="s">
        <v>186</v>
      </c>
      <c r="B43" s="6" t="s">
        <v>119</v>
      </c>
      <c r="C43" s="8" t="s">
        <v>1152</v>
      </c>
      <c r="D43" s="9" t="s">
        <v>616</v>
      </c>
      <c r="E43" s="568" t="s">
        <v>735</v>
      </c>
      <c r="F43" s="640" t="s">
        <v>1070</v>
      </c>
      <c r="G43" s="568" t="s">
        <v>843</v>
      </c>
      <c r="H43" s="323"/>
      <c r="I43" s="571"/>
      <c r="J43" s="342"/>
    </row>
    <row r="44" spans="1:10" s="328" customFormat="1" ht="20.45" customHeight="1">
      <c r="A44" s="334" t="s">
        <v>166</v>
      </c>
      <c r="B44" s="6" t="s">
        <v>165</v>
      </c>
      <c r="C44" s="8" t="s">
        <v>149</v>
      </c>
      <c r="D44" s="9" t="s">
        <v>164</v>
      </c>
      <c r="E44" s="568" t="s">
        <v>162</v>
      </c>
      <c r="F44" s="649" t="s">
        <v>163</v>
      </c>
      <c r="G44" s="565" t="s">
        <v>174</v>
      </c>
      <c r="H44" s="639"/>
      <c r="I44" s="565"/>
      <c r="J44" s="335"/>
    </row>
    <row r="45" spans="1:10" s="328" customFormat="1" ht="20.45" customHeight="1">
      <c r="A45" s="334" t="s">
        <v>127</v>
      </c>
      <c r="B45" s="6" t="s">
        <v>145</v>
      </c>
      <c r="C45" s="8" t="s">
        <v>146</v>
      </c>
      <c r="D45" s="9" t="s">
        <v>1075</v>
      </c>
      <c r="E45" s="565" t="s">
        <v>1076</v>
      </c>
      <c r="F45" s="640" t="s">
        <v>1077</v>
      </c>
      <c r="G45" s="565" t="s">
        <v>1078</v>
      </c>
      <c r="H45" s="323" t="s">
        <v>685</v>
      </c>
      <c r="I45" s="565" t="s">
        <v>686</v>
      </c>
      <c r="J45" s="335"/>
    </row>
    <row r="46" spans="1:10" s="328" customFormat="1" ht="20.45" customHeight="1">
      <c r="A46" s="334" t="s">
        <v>128</v>
      </c>
      <c r="B46" s="336" t="s">
        <v>332</v>
      </c>
      <c r="C46" s="5" t="s">
        <v>172</v>
      </c>
      <c r="D46" s="6" t="s">
        <v>1140</v>
      </c>
      <c r="E46" s="565" t="s">
        <v>1141</v>
      </c>
      <c r="F46" s="639" t="s">
        <v>1142</v>
      </c>
      <c r="G46" s="565" t="s">
        <v>1143</v>
      </c>
      <c r="H46" s="639" t="s">
        <v>129</v>
      </c>
      <c r="I46" s="565" t="s">
        <v>130</v>
      </c>
    </row>
    <row r="47" spans="1:10" s="328" customFormat="1" ht="20.45" customHeight="1">
      <c r="A47" s="334" t="s">
        <v>131</v>
      </c>
      <c r="B47" s="336" t="s">
        <v>332</v>
      </c>
      <c r="C47" s="5" t="s">
        <v>173</v>
      </c>
      <c r="D47" s="6" t="s">
        <v>185</v>
      </c>
      <c r="E47" s="565" t="s">
        <v>148</v>
      </c>
      <c r="F47" s="639" t="s">
        <v>132</v>
      </c>
      <c r="G47" s="565" t="s">
        <v>133</v>
      </c>
      <c r="H47" s="639"/>
      <c r="I47" s="565"/>
    </row>
    <row r="48" spans="1:10" s="328" customFormat="1" ht="34.15" customHeight="1">
      <c r="A48" s="635" t="s">
        <v>1134</v>
      </c>
      <c r="B48" s="634" t="s">
        <v>1137</v>
      </c>
      <c r="C48" s="5" t="s">
        <v>960</v>
      </c>
      <c r="D48" s="6" t="s">
        <v>874</v>
      </c>
      <c r="E48" s="565" t="s">
        <v>875</v>
      </c>
      <c r="F48" s="639" t="s">
        <v>876</v>
      </c>
      <c r="G48" s="565" t="s">
        <v>877</v>
      </c>
      <c r="H48" s="639" t="s">
        <v>878</v>
      </c>
      <c r="I48" s="565" t="s">
        <v>879</v>
      </c>
    </row>
    <row r="49" spans="1:10" s="328" customFormat="1" ht="20.45" customHeight="1" thickBot="1">
      <c r="A49" s="378" t="s">
        <v>903</v>
      </c>
      <c r="B49" s="379" t="s">
        <v>332</v>
      </c>
      <c r="C49" s="380" t="s">
        <v>934</v>
      </c>
      <c r="D49" s="381" t="s">
        <v>1188</v>
      </c>
      <c r="E49" s="572" t="s">
        <v>1189</v>
      </c>
      <c r="F49" s="650" t="s">
        <v>1190</v>
      </c>
      <c r="G49" s="572" t="s">
        <v>1191</v>
      </c>
      <c r="H49" s="650"/>
      <c r="I49" s="572"/>
      <c r="J49" s="357"/>
    </row>
    <row r="50" spans="1:10" s="328" customFormat="1" ht="5.45" customHeight="1" thickTop="1"/>
    <row r="51" spans="1:10" s="328" customFormat="1" ht="18.75">
      <c r="A51" s="857" t="s">
        <v>134</v>
      </c>
      <c r="B51" s="857"/>
      <c r="C51" s="857"/>
      <c r="D51" s="857"/>
      <c r="E51" s="857"/>
      <c r="F51" s="857"/>
      <c r="G51" s="857"/>
      <c r="H51" s="857"/>
      <c r="I51" s="857"/>
    </row>
    <row r="52" spans="1:10" s="328" customFormat="1" ht="18.75">
      <c r="A52" s="857" t="s">
        <v>135</v>
      </c>
      <c r="B52" s="857"/>
      <c r="C52" s="857"/>
      <c r="D52" s="857"/>
      <c r="E52" s="857"/>
      <c r="F52" s="857"/>
      <c r="G52" s="857"/>
      <c r="H52" s="857"/>
      <c r="I52" s="857"/>
    </row>
    <row r="53" spans="1:10" s="328" customFormat="1" ht="18.75">
      <c r="A53" s="857"/>
      <c r="B53" s="857"/>
      <c r="C53" s="857"/>
      <c r="D53" s="857"/>
      <c r="E53" s="857"/>
      <c r="F53" s="857"/>
      <c r="G53" s="857"/>
      <c r="H53" s="857"/>
      <c r="I53" s="857"/>
    </row>
    <row r="54" spans="1:10" s="328" customFormat="1" ht="18.75">
      <c r="A54" s="857" t="s">
        <v>1159</v>
      </c>
      <c r="B54" s="857"/>
      <c r="C54" s="857"/>
      <c r="D54" s="857"/>
      <c r="E54" s="857"/>
      <c r="F54" s="857"/>
      <c r="G54" s="857"/>
      <c r="H54" s="857"/>
      <c r="I54" s="857"/>
    </row>
    <row r="63" spans="1:10">
      <c r="F63" s="658"/>
    </row>
    <row r="67" ht="42" customHeight="1"/>
    <row r="68" ht="42" customHeight="1"/>
    <row r="69" ht="42" customHeight="1"/>
    <row r="70" ht="42" customHeight="1"/>
    <row r="71" ht="42" customHeight="1"/>
    <row r="72" ht="42" customHeight="1"/>
    <row r="73" ht="42" customHeight="1"/>
    <row r="74" ht="42" customHeight="1"/>
    <row r="75" ht="24.75" customHeight="1"/>
    <row r="76" ht="24.75" customHeight="1"/>
    <row r="77" ht="27.75" customHeight="1"/>
    <row r="78" ht="25.15" customHeight="1"/>
    <row r="79" ht="24" customHeight="1"/>
    <row r="80" ht="26.25" customHeight="1"/>
    <row r="81" ht="24.75" customHeight="1"/>
    <row r="82" ht="26.25" customHeight="1"/>
    <row r="83" ht="26.25" customHeight="1"/>
    <row r="84" ht="27" customHeight="1"/>
    <row r="85" ht="24" customHeight="1"/>
    <row r="86" ht="24" customHeight="1"/>
    <row r="87" ht="24" customHeight="1"/>
    <row r="88" ht="24.75" customHeight="1"/>
    <row r="89" ht="26.25" customHeight="1"/>
    <row r="90" ht="26.25" customHeight="1"/>
    <row r="91" ht="24" customHeight="1"/>
    <row r="92" ht="24" customHeight="1"/>
    <row r="93" ht="24" customHeight="1"/>
    <row r="94" ht="24" customHeight="1"/>
    <row r="95" ht="24" customHeight="1"/>
    <row r="96" ht="24.75" customHeight="1"/>
    <row r="97" ht="24" customHeight="1"/>
    <row r="98" ht="24" customHeight="1"/>
    <row r="99" ht="24" customHeight="1"/>
    <row r="100" ht="24" customHeight="1"/>
    <row r="101" ht="27.75" customHeight="1"/>
  </sheetData>
  <mergeCells count="7">
    <mergeCell ref="A54:I54"/>
    <mergeCell ref="A53:I53"/>
    <mergeCell ref="A51:I51"/>
    <mergeCell ref="A52:I52"/>
    <mergeCell ref="A2:I2"/>
    <mergeCell ref="A3:I3"/>
    <mergeCell ref="A6:B6"/>
  </mergeCells>
  <phoneticPr fontId="2" type="noConversion"/>
  <printOptions horizontalCentered="1"/>
  <pageMargins left="0.23622047244094491" right="0.23622047244094491" top="0.19685039370078741" bottom="0" header="0.31496062992125984" footer="0"/>
  <pageSetup paperSize="9" scale="76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60"/>
  <sheetViews>
    <sheetView tabSelected="1" view="pageBreakPreview" topLeftCell="A22" zoomScale="80" zoomScaleNormal="80" zoomScaleSheetLayoutView="80" workbookViewId="0">
      <selection activeCell="E41" sqref="E41"/>
    </sheetView>
  </sheetViews>
  <sheetFormatPr defaultColWidth="9" defaultRowHeight="18.75"/>
  <cols>
    <col min="1" max="1" width="5.5" style="326" customWidth="1"/>
    <col min="2" max="2" width="43.25" style="288" customWidth="1"/>
    <col min="3" max="3" width="16.125" style="301" customWidth="1"/>
    <col min="4" max="4" width="19.25" style="300" customWidth="1"/>
    <col min="5" max="5" width="8.75" style="18" customWidth="1"/>
    <col min="6" max="6" width="13.25" style="18" customWidth="1"/>
    <col min="7" max="7" width="16.5" style="287" customWidth="1"/>
    <col min="8" max="13" width="9" style="287"/>
    <col min="14" max="14" width="17" style="287" customWidth="1"/>
    <col min="15" max="16384" width="9" style="287"/>
  </cols>
  <sheetData>
    <row r="1" spans="1:14" ht="24" customHeight="1">
      <c r="A1" s="864" t="s">
        <v>911</v>
      </c>
      <c r="B1" s="864"/>
      <c r="C1" s="864"/>
      <c r="D1" s="864"/>
      <c r="E1" s="864"/>
      <c r="F1" s="864"/>
      <c r="G1" s="293"/>
      <c r="H1" s="293"/>
      <c r="I1" s="293"/>
      <c r="J1" s="293"/>
      <c r="K1" s="293"/>
      <c r="L1" s="293"/>
      <c r="M1" s="293"/>
      <c r="N1" s="293"/>
    </row>
    <row r="2" spans="1:14" ht="32.450000000000003" customHeight="1">
      <c r="A2" s="671" t="s">
        <v>585</v>
      </c>
      <c r="B2" s="15" t="s">
        <v>24</v>
      </c>
      <c r="C2" s="15" t="s">
        <v>25</v>
      </c>
      <c r="D2" s="15" t="s">
        <v>26</v>
      </c>
      <c r="E2" s="16" t="s">
        <v>1196</v>
      </c>
      <c r="F2" s="16" t="s">
        <v>909</v>
      </c>
      <c r="G2" s="16" t="s">
        <v>801</v>
      </c>
      <c r="M2" s="293"/>
    </row>
    <row r="3" spans="1:14" ht="31.15" customHeight="1">
      <c r="A3" s="325">
        <v>1</v>
      </c>
      <c r="B3" s="291" t="s">
        <v>719</v>
      </c>
      <c r="C3" s="290" t="s">
        <v>144</v>
      </c>
      <c r="D3" s="290" t="s">
        <v>812</v>
      </c>
      <c r="E3" s="17">
        <v>202</v>
      </c>
      <c r="F3" s="17" t="s">
        <v>586</v>
      </c>
      <c r="G3" s="319"/>
      <c r="K3" s="294"/>
      <c r="M3" s="293"/>
    </row>
    <row r="4" spans="1:14" ht="24.95" customHeight="1">
      <c r="A4" s="325">
        <v>2</v>
      </c>
      <c r="B4" s="291" t="s">
        <v>591</v>
      </c>
      <c r="C4" s="290" t="s">
        <v>592</v>
      </c>
      <c r="D4" s="290" t="s">
        <v>180</v>
      </c>
      <c r="E4" s="17">
        <v>11</v>
      </c>
      <c r="F4" s="17" t="s">
        <v>586</v>
      </c>
      <c r="G4" s="319"/>
      <c r="M4" s="293"/>
    </row>
    <row r="5" spans="1:14" ht="24.95" customHeight="1">
      <c r="A5" s="325">
        <v>3</v>
      </c>
      <c r="B5" s="232" t="s">
        <v>598</v>
      </c>
      <c r="C5" s="290" t="s">
        <v>612</v>
      </c>
      <c r="D5" s="290" t="s">
        <v>613</v>
      </c>
      <c r="E5" s="17">
        <v>3</v>
      </c>
      <c r="F5" s="17" t="s">
        <v>544</v>
      </c>
      <c r="G5" s="319"/>
    </row>
    <row r="6" spans="1:14" ht="24.95" customHeight="1">
      <c r="A6" s="325">
        <v>4</v>
      </c>
      <c r="B6" s="291" t="s">
        <v>830</v>
      </c>
      <c r="C6" s="298" t="s">
        <v>18</v>
      </c>
      <c r="D6" s="290" t="s">
        <v>587</v>
      </c>
      <c r="E6" s="17">
        <v>4</v>
      </c>
      <c r="F6" s="17" t="s">
        <v>586</v>
      </c>
      <c r="G6" s="319"/>
    </row>
    <row r="7" spans="1:14" ht="27" customHeight="1">
      <c r="A7" s="325">
        <v>5</v>
      </c>
      <c r="B7" s="291" t="s">
        <v>208</v>
      </c>
      <c r="C7" s="347" t="s">
        <v>752</v>
      </c>
      <c r="D7" s="290" t="s">
        <v>910</v>
      </c>
      <c r="E7" s="17">
        <v>60</v>
      </c>
      <c r="F7" s="17" t="s">
        <v>586</v>
      </c>
      <c r="G7" s="319"/>
    </row>
    <row r="8" spans="1:14" ht="24.75" customHeight="1">
      <c r="A8" s="325">
        <v>6</v>
      </c>
      <c r="B8" s="291" t="s">
        <v>560</v>
      </c>
      <c r="C8" s="298" t="s">
        <v>212</v>
      </c>
      <c r="D8" s="290" t="s">
        <v>918</v>
      </c>
      <c r="E8" s="17">
        <v>25</v>
      </c>
      <c r="F8" s="17" t="s">
        <v>932</v>
      </c>
      <c r="G8" s="319"/>
    </row>
    <row r="9" spans="1:14" ht="24.95" customHeight="1">
      <c r="A9" s="325">
        <v>7</v>
      </c>
      <c r="B9" s="291" t="s">
        <v>190</v>
      </c>
      <c r="C9" s="298" t="s">
        <v>202</v>
      </c>
      <c r="D9" s="290" t="s">
        <v>191</v>
      </c>
      <c r="E9" s="17">
        <v>19</v>
      </c>
      <c r="F9" s="17" t="s">
        <v>915</v>
      </c>
      <c r="G9" s="319"/>
    </row>
    <row r="10" spans="1:14" ht="24.95" customHeight="1">
      <c r="A10" s="325">
        <v>8</v>
      </c>
      <c r="B10" s="291" t="s">
        <v>28</v>
      </c>
      <c r="C10" s="298" t="s">
        <v>20</v>
      </c>
      <c r="D10" s="290" t="s">
        <v>914</v>
      </c>
      <c r="E10" s="17">
        <v>130</v>
      </c>
      <c r="F10" s="17" t="s">
        <v>915</v>
      </c>
      <c r="G10" s="319"/>
    </row>
    <row r="11" spans="1:14" ht="26.25" customHeight="1">
      <c r="A11" s="325">
        <v>9</v>
      </c>
      <c r="B11" s="291" t="s">
        <v>639</v>
      </c>
      <c r="C11" s="347" t="s">
        <v>1163</v>
      </c>
      <c r="D11" s="290" t="s">
        <v>19</v>
      </c>
      <c r="E11" s="17">
        <v>100</v>
      </c>
      <c r="F11" s="17" t="s">
        <v>586</v>
      </c>
      <c r="G11" s="319"/>
    </row>
    <row r="12" spans="1:14" ht="24.95" customHeight="1">
      <c r="A12" s="325">
        <v>10</v>
      </c>
      <c r="B12" s="291" t="s">
        <v>1046</v>
      </c>
      <c r="C12" s="298" t="s">
        <v>1049</v>
      </c>
      <c r="D12" s="290" t="s">
        <v>1060</v>
      </c>
      <c r="E12" s="17">
        <v>43</v>
      </c>
      <c r="F12" s="17" t="s">
        <v>544</v>
      </c>
      <c r="G12" s="319"/>
    </row>
    <row r="13" spans="1:14" ht="36" customHeight="1">
      <c r="A13" s="325">
        <v>11</v>
      </c>
      <c r="B13" s="363" t="s">
        <v>29</v>
      </c>
      <c r="C13" s="361" t="s">
        <v>967</v>
      </c>
      <c r="D13" s="362" t="s">
        <v>21</v>
      </c>
      <c r="E13" s="359">
        <v>180</v>
      </c>
      <c r="F13" s="17" t="s">
        <v>544</v>
      </c>
      <c r="G13" s="321" t="s">
        <v>802</v>
      </c>
      <c r="H13" s="355"/>
    </row>
    <row r="14" spans="1:14" ht="24.95" customHeight="1">
      <c r="A14" s="325">
        <v>12</v>
      </c>
      <c r="B14" s="292" t="s">
        <v>668</v>
      </c>
      <c r="C14" s="298" t="s">
        <v>738</v>
      </c>
      <c r="D14" s="290" t="s">
        <v>692</v>
      </c>
      <c r="E14" s="17">
        <v>150</v>
      </c>
      <c r="F14" s="17" t="s">
        <v>586</v>
      </c>
      <c r="G14" s="319"/>
    </row>
    <row r="15" spans="1:14" ht="24.95" customHeight="1">
      <c r="A15" s="325">
        <v>13</v>
      </c>
      <c r="B15" s="291" t="s">
        <v>31</v>
      </c>
      <c r="C15" s="298" t="s">
        <v>143</v>
      </c>
      <c r="D15" s="290" t="s">
        <v>21</v>
      </c>
      <c r="E15" s="17">
        <v>14</v>
      </c>
      <c r="F15" s="17" t="s">
        <v>544</v>
      </c>
      <c r="G15" s="319" t="s">
        <v>803</v>
      </c>
    </row>
    <row r="16" spans="1:14" ht="25.5" customHeight="1">
      <c r="A16" s="325">
        <v>14</v>
      </c>
      <c r="B16" s="292" t="s">
        <v>927</v>
      </c>
      <c r="C16" s="297" t="s">
        <v>1182</v>
      </c>
      <c r="D16" s="290" t="s">
        <v>200</v>
      </c>
      <c r="E16" s="17">
        <v>8</v>
      </c>
      <c r="F16" s="17" t="s">
        <v>544</v>
      </c>
      <c r="G16" s="320"/>
    </row>
    <row r="17" spans="1:8" ht="24.95" customHeight="1">
      <c r="A17" s="325">
        <v>15</v>
      </c>
      <c r="B17" s="292" t="s">
        <v>22</v>
      </c>
      <c r="C17" s="298" t="s">
        <v>831</v>
      </c>
      <c r="D17" s="290" t="s">
        <v>19</v>
      </c>
      <c r="E17" s="17">
        <v>10</v>
      </c>
      <c r="F17" s="17" t="s">
        <v>586</v>
      </c>
      <c r="G17" s="320"/>
    </row>
    <row r="18" spans="1:8" ht="24.95" customHeight="1">
      <c r="A18" s="325">
        <v>16</v>
      </c>
      <c r="B18" s="291" t="s">
        <v>204</v>
      </c>
      <c r="C18" s="298" t="s">
        <v>559</v>
      </c>
      <c r="D18" s="290" t="s">
        <v>205</v>
      </c>
      <c r="E18" s="17">
        <v>23</v>
      </c>
      <c r="F18" s="17" t="s">
        <v>915</v>
      </c>
      <c r="G18" s="319"/>
    </row>
    <row r="19" spans="1:8" ht="24.95" customHeight="1">
      <c r="A19" s="325">
        <v>17</v>
      </c>
      <c r="B19" s="360" t="s">
        <v>140</v>
      </c>
      <c r="C19" s="361" t="s">
        <v>904</v>
      </c>
      <c r="D19" s="362" t="s">
        <v>139</v>
      </c>
      <c r="E19" s="359">
        <v>80</v>
      </c>
      <c r="F19" s="17" t="s">
        <v>544</v>
      </c>
      <c r="G19" s="319"/>
      <c r="H19" s="355"/>
    </row>
    <row r="20" spans="1:8" ht="24.95" customHeight="1">
      <c r="A20" s="325">
        <v>18</v>
      </c>
      <c r="B20" s="291" t="s">
        <v>952</v>
      </c>
      <c r="C20" s="298" t="s">
        <v>751</v>
      </c>
      <c r="D20" s="290" t="s">
        <v>21</v>
      </c>
      <c r="E20" s="17">
        <v>10</v>
      </c>
      <c r="F20" s="17" t="s">
        <v>544</v>
      </c>
      <c r="G20" s="319"/>
    </row>
    <row r="21" spans="1:8" ht="24.95" customHeight="1">
      <c r="A21" s="325">
        <v>19</v>
      </c>
      <c r="B21" s="291" t="s">
        <v>926</v>
      </c>
      <c r="C21" s="298" t="s">
        <v>160</v>
      </c>
      <c r="D21" s="290" t="s">
        <v>159</v>
      </c>
      <c r="E21" s="17">
        <v>15</v>
      </c>
      <c r="F21" s="17" t="s">
        <v>544</v>
      </c>
      <c r="G21" s="319"/>
    </row>
    <row r="22" spans="1:8" ht="24.95" customHeight="1">
      <c r="A22" s="325">
        <v>20</v>
      </c>
      <c r="B22" s="291" t="s">
        <v>161</v>
      </c>
      <c r="C22" s="298" t="s">
        <v>169</v>
      </c>
      <c r="D22" s="290" t="s">
        <v>920</v>
      </c>
      <c r="E22" s="17">
        <v>12</v>
      </c>
      <c r="F22" s="17" t="s">
        <v>544</v>
      </c>
      <c r="G22" s="319"/>
    </row>
    <row r="23" spans="1:8" ht="24.95" customHeight="1">
      <c r="A23" s="325">
        <v>21</v>
      </c>
      <c r="B23" s="291" t="s">
        <v>928</v>
      </c>
      <c r="C23" s="298" t="s">
        <v>170</v>
      </c>
      <c r="D23" s="290" t="s">
        <v>917</v>
      </c>
      <c r="E23" s="17">
        <v>5</v>
      </c>
      <c r="F23" s="17" t="s">
        <v>544</v>
      </c>
      <c r="G23" s="319"/>
    </row>
    <row r="24" spans="1:8" ht="24.95" customHeight="1">
      <c r="A24" s="325">
        <v>22</v>
      </c>
      <c r="B24" s="291" t="s">
        <v>152</v>
      </c>
      <c r="C24" s="298" t="s">
        <v>155</v>
      </c>
      <c r="D24" s="290" t="s">
        <v>921</v>
      </c>
      <c r="E24" s="17">
        <v>50</v>
      </c>
      <c r="F24" s="17" t="s">
        <v>916</v>
      </c>
      <c r="G24" s="319"/>
    </row>
    <row r="25" spans="1:8" ht="24.95" customHeight="1">
      <c r="A25" s="325">
        <v>23</v>
      </c>
      <c r="B25" s="291" t="s">
        <v>994</v>
      </c>
      <c r="C25" s="298" t="s">
        <v>9</v>
      </c>
      <c r="D25" s="290" t="s">
        <v>21</v>
      </c>
      <c r="E25" s="17">
        <v>21</v>
      </c>
      <c r="F25" s="17" t="s">
        <v>544</v>
      </c>
      <c r="G25" s="319"/>
    </row>
    <row r="26" spans="1:8" ht="24.95" customHeight="1">
      <c r="A26" s="325">
        <v>24</v>
      </c>
      <c r="B26" s="292" t="s">
        <v>975</v>
      </c>
      <c r="C26" s="298" t="s">
        <v>593</v>
      </c>
      <c r="D26" s="290" t="s">
        <v>21</v>
      </c>
      <c r="E26" s="17">
        <v>65</v>
      </c>
      <c r="F26" s="17" t="s">
        <v>544</v>
      </c>
      <c r="G26" s="320"/>
    </row>
    <row r="27" spans="1:8" ht="22.9" customHeight="1">
      <c r="A27" s="862">
        <v>25</v>
      </c>
      <c r="B27" s="865" t="s">
        <v>980</v>
      </c>
      <c r="C27" s="358" t="s">
        <v>74</v>
      </c>
      <c r="D27" s="867" t="s">
        <v>201</v>
      </c>
      <c r="E27" s="359">
        <v>115</v>
      </c>
      <c r="F27" s="359" t="s">
        <v>586</v>
      </c>
      <c r="G27" s="319"/>
      <c r="H27" s="355"/>
    </row>
    <row r="28" spans="1:8" ht="22.9" customHeight="1">
      <c r="A28" s="863"/>
      <c r="B28" s="866"/>
      <c r="C28" s="358" t="s">
        <v>924</v>
      </c>
      <c r="D28" s="868"/>
      <c r="E28" s="359">
        <v>24</v>
      </c>
      <c r="F28" s="359" t="s">
        <v>925</v>
      </c>
      <c r="G28" s="319"/>
    </row>
    <row r="29" spans="1:8" ht="24.95" customHeight="1">
      <c r="A29" s="325">
        <v>26</v>
      </c>
      <c r="B29" s="292" t="s">
        <v>189</v>
      </c>
      <c r="C29" s="298" t="s">
        <v>188</v>
      </c>
      <c r="D29" s="290" t="s">
        <v>187</v>
      </c>
      <c r="E29" s="17">
        <v>40</v>
      </c>
      <c r="F29" s="17" t="s">
        <v>544</v>
      </c>
      <c r="G29" s="319"/>
    </row>
    <row r="30" spans="1:8" ht="24.95" customHeight="1">
      <c r="A30" s="862">
        <v>27</v>
      </c>
      <c r="B30" s="292" t="s">
        <v>995</v>
      </c>
      <c r="C30" s="298" t="s">
        <v>12</v>
      </c>
      <c r="D30" s="290" t="s">
        <v>187</v>
      </c>
      <c r="E30" s="17">
        <v>3</v>
      </c>
      <c r="F30" s="17" t="s">
        <v>544</v>
      </c>
      <c r="G30" s="319"/>
    </row>
    <row r="31" spans="1:8" ht="24.95" customHeight="1">
      <c r="A31" s="863"/>
      <c r="B31" s="292" t="s">
        <v>1002</v>
      </c>
      <c r="C31" s="298" t="s">
        <v>299</v>
      </c>
      <c r="D31" s="290" t="s">
        <v>187</v>
      </c>
      <c r="E31" s="17">
        <v>83</v>
      </c>
      <c r="F31" s="17" t="s">
        <v>544</v>
      </c>
      <c r="G31" s="319"/>
    </row>
    <row r="32" spans="1:8" ht="24.95" customHeight="1">
      <c r="A32" s="325">
        <v>28</v>
      </c>
      <c r="B32" s="291" t="s">
        <v>689</v>
      </c>
      <c r="C32" s="298" t="s">
        <v>1007</v>
      </c>
      <c r="D32" s="290" t="s">
        <v>691</v>
      </c>
      <c r="E32" s="17">
        <v>11</v>
      </c>
      <c r="F32" s="17" t="s">
        <v>544</v>
      </c>
      <c r="G32" s="319"/>
    </row>
    <row r="33" spans="1:8" ht="33" customHeight="1">
      <c r="A33" s="862">
        <v>29</v>
      </c>
      <c r="B33" s="668" t="s">
        <v>1183</v>
      </c>
      <c r="C33" s="297" t="s">
        <v>1184</v>
      </c>
      <c r="D33" s="290" t="s">
        <v>918</v>
      </c>
      <c r="E33" s="17">
        <v>15</v>
      </c>
      <c r="F33" s="17" t="s">
        <v>544</v>
      </c>
      <c r="G33" s="319"/>
    </row>
    <row r="34" spans="1:8" ht="24.95" customHeight="1">
      <c r="A34" s="863"/>
      <c r="B34" s="292" t="s">
        <v>667</v>
      </c>
      <c r="C34" s="298" t="s">
        <v>671</v>
      </c>
      <c r="D34" s="290" t="s">
        <v>922</v>
      </c>
      <c r="E34" s="17">
        <v>110</v>
      </c>
      <c r="F34" s="17" t="s">
        <v>923</v>
      </c>
      <c r="G34" s="319"/>
    </row>
    <row r="35" spans="1:8" ht="24.95" customHeight="1">
      <c r="A35" s="325">
        <v>30</v>
      </c>
      <c r="B35" s="292" t="s">
        <v>774</v>
      </c>
      <c r="C35" s="298" t="s">
        <v>775</v>
      </c>
      <c r="D35" s="290" t="s">
        <v>929</v>
      </c>
      <c r="E35" s="17">
        <v>9</v>
      </c>
      <c r="F35" s="17" t="s">
        <v>544</v>
      </c>
      <c r="G35" s="319"/>
    </row>
    <row r="36" spans="1:8" ht="24.95" customHeight="1">
      <c r="A36" s="862">
        <v>31</v>
      </c>
      <c r="B36" s="291" t="s">
        <v>184</v>
      </c>
      <c r="C36" s="298" t="s">
        <v>168</v>
      </c>
      <c r="D36" s="290" t="s">
        <v>167</v>
      </c>
      <c r="E36" s="17">
        <v>5</v>
      </c>
      <c r="F36" s="17" t="s">
        <v>544</v>
      </c>
      <c r="G36" s="319"/>
    </row>
    <row r="37" spans="1:8" ht="24.95" customHeight="1">
      <c r="A37" s="863"/>
      <c r="B37" s="291" t="s">
        <v>147</v>
      </c>
      <c r="C37" s="298" t="s">
        <v>756</v>
      </c>
      <c r="D37" s="290" t="s">
        <v>919</v>
      </c>
      <c r="E37" s="17">
        <v>78</v>
      </c>
      <c r="F37" s="17" t="s">
        <v>916</v>
      </c>
      <c r="G37" s="322" t="s">
        <v>803</v>
      </c>
    </row>
    <row r="38" spans="1:8" ht="24.75" customHeight="1">
      <c r="A38" s="325">
        <v>32</v>
      </c>
      <c r="B38" s="291" t="s">
        <v>33</v>
      </c>
      <c r="C38" s="298" t="s">
        <v>1209</v>
      </c>
      <c r="D38" s="290" t="s">
        <v>930</v>
      </c>
      <c r="E38" s="17">
        <v>160</v>
      </c>
      <c r="F38" s="17" t="s">
        <v>544</v>
      </c>
      <c r="G38" s="322" t="s">
        <v>804</v>
      </c>
    </row>
    <row r="39" spans="1:8" ht="24.75" customHeight="1">
      <c r="A39" s="672">
        <v>33</v>
      </c>
      <c r="B39" s="291" t="s">
        <v>849</v>
      </c>
      <c r="C39" s="298" t="s">
        <v>571</v>
      </c>
      <c r="D39" s="290" t="s">
        <v>854</v>
      </c>
      <c r="E39" s="17">
        <v>529</v>
      </c>
      <c r="F39" s="17" t="s">
        <v>544</v>
      </c>
      <c r="G39" s="322"/>
      <c r="H39" s="18"/>
    </row>
    <row r="40" spans="1:8" ht="24.75" customHeight="1">
      <c r="A40" s="325">
        <v>34</v>
      </c>
      <c r="B40" s="356" t="s">
        <v>937</v>
      </c>
      <c r="C40" s="297" t="s">
        <v>941</v>
      </c>
      <c r="D40" s="290" t="s">
        <v>961</v>
      </c>
      <c r="E40" s="17">
        <v>10</v>
      </c>
      <c r="F40" s="17" t="s">
        <v>916</v>
      </c>
      <c r="G40" s="322"/>
      <c r="H40" s="18"/>
    </row>
    <row r="41" spans="1:8" ht="24.75" customHeight="1">
      <c r="A41" s="862">
        <v>35</v>
      </c>
      <c r="B41" s="670" t="s">
        <v>936</v>
      </c>
      <c r="C41" s="298" t="s">
        <v>884</v>
      </c>
      <c r="D41" s="290" t="s">
        <v>922</v>
      </c>
      <c r="E41" s="17">
        <v>57</v>
      </c>
      <c r="F41" s="17" t="s">
        <v>586</v>
      </c>
      <c r="G41" s="322"/>
      <c r="H41" s="18"/>
    </row>
    <row r="42" spans="1:8" ht="24.75" customHeight="1">
      <c r="A42" s="863"/>
      <c r="B42" s="356" t="s">
        <v>1063</v>
      </c>
      <c r="C42" s="298" t="s">
        <v>1068</v>
      </c>
      <c r="D42" s="290" t="s">
        <v>922</v>
      </c>
      <c r="E42" s="17">
        <v>20</v>
      </c>
      <c r="F42" s="17" t="s">
        <v>544</v>
      </c>
      <c r="G42" s="322"/>
      <c r="H42" s="18"/>
    </row>
    <row r="43" spans="1:8" ht="24.75" customHeight="1">
      <c r="A43" s="325">
        <v>36</v>
      </c>
      <c r="B43" s="670" t="s">
        <v>1091</v>
      </c>
      <c r="C43" s="298" t="s">
        <v>1094</v>
      </c>
      <c r="D43" s="290"/>
      <c r="E43" s="17">
        <v>5</v>
      </c>
      <c r="F43" s="17" t="s">
        <v>586</v>
      </c>
      <c r="G43" s="322"/>
      <c r="H43" s="18"/>
    </row>
    <row r="44" spans="1:8">
      <c r="B44" s="19" t="s">
        <v>1210</v>
      </c>
      <c r="C44" s="299"/>
      <c r="D44" s="20" t="s">
        <v>35</v>
      </c>
      <c r="E44" s="21">
        <f>SUM(E3:E43)</f>
        <v>2514</v>
      </c>
      <c r="F44" s="21"/>
    </row>
    <row r="45" spans="1:8">
      <c r="B45" s="19"/>
      <c r="C45" s="299"/>
      <c r="D45" s="299"/>
      <c r="E45" s="21"/>
      <c r="F45" s="21"/>
    </row>
    <row r="46" spans="1:8">
      <c r="B46" s="19"/>
      <c r="C46" s="299"/>
      <c r="D46" s="299"/>
      <c r="E46" s="21"/>
      <c r="F46" s="21"/>
    </row>
    <row r="47" spans="1:8">
      <c r="B47" s="19"/>
      <c r="C47" s="299"/>
      <c r="D47" s="299"/>
      <c r="E47" s="21"/>
      <c r="F47" s="21"/>
    </row>
    <row r="48" spans="1:8">
      <c r="B48" s="19"/>
      <c r="C48" s="299"/>
      <c r="D48" s="299"/>
      <c r="E48" s="21"/>
      <c r="F48" s="21"/>
    </row>
    <row r="49" spans="2:7">
      <c r="B49" s="19"/>
      <c r="C49" s="299"/>
      <c r="D49" s="299"/>
      <c r="E49" s="21"/>
      <c r="F49" s="21"/>
    </row>
    <row r="50" spans="2:7">
      <c r="B50" s="19"/>
      <c r="C50" s="299"/>
      <c r="D50" s="299"/>
      <c r="E50" s="21"/>
      <c r="F50" s="21"/>
    </row>
    <row r="51" spans="2:7">
      <c r="B51" s="19"/>
      <c r="C51" s="299"/>
      <c r="D51" s="299"/>
      <c r="E51" s="21"/>
      <c r="F51" s="21"/>
    </row>
    <row r="52" spans="2:7">
      <c r="B52" s="19"/>
      <c r="C52" s="299"/>
      <c r="D52" s="299"/>
      <c r="E52" s="21"/>
      <c r="F52" s="21"/>
    </row>
    <row r="53" spans="2:7">
      <c r="B53" s="19"/>
      <c r="C53" s="299"/>
      <c r="D53" s="299"/>
      <c r="E53" s="21"/>
      <c r="F53" s="21"/>
    </row>
    <row r="54" spans="2:7">
      <c r="B54" s="19"/>
      <c r="C54" s="299"/>
      <c r="D54" s="299"/>
      <c r="E54" s="21"/>
      <c r="F54" s="21"/>
    </row>
    <row r="55" spans="2:7">
      <c r="B55" s="19"/>
      <c r="C55" s="299"/>
      <c r="D55" s="299"/>
      <c r="E55" s="21"/>
      <c r="F55" s="21"/>
    </row>
    <row r="56" spans="2:7">
      <c r="B56" s="19"/>
      <c r="C56" s="299"/>
      <c r="D56" s="299"/>
      <c r="E56" s="21"/>
      <c r="F56" s="21"/>
    </row>
    <row r="57" spans="2:7">
      <c r="B57" s="19"/>
      <c r="C57" s="299"/>
    </row>
    <row r="58" spans="2:7">
      <c r="B58" s="19"/>
      <c r="C58" s="299"/>
    </row>
    <row r="59" spans="2:7">
      <c r="B59" s="19"/>
      <c r="C59" s="299"/>
    </row>
    <row r="60" spans="2:7">
      <c r="B60" s="19"/>
      <c r="C60" s="299"/>
      <c r="G60" s="18"/>
    </row>
    <row r="61" spans="2:7">
      <c r="B61" s="19"/>
      <c r="C61" s="299"/>
    </row>
    <row r="62" spans="2:7">
      <c r="B62" s="19"/>
      <c r="C62" s="299"/>
    </row>
    <row r="63" spans="2:7">
      <c r="B63" s="19"/>
      <c r="C63" s="299"/>
    </row>
    <row r="64" spans="2:7">
      <c r="B64" s="19"/>
      <c r="C64" s="299"/>
    </row>
    <row r="65" spans="2:3">
      <c r="B65" s="19"/>
      <c r="C65" s="299"/>
    </row>
    <row r="66" spans="2:3">
      <c r="B66" s="19"/>
      <c r="C66" s="299"/>
    </row>
    <row r="67" spans="2:3">
      <c r="B67" s="19"/>
      <c r="C67" s="299"/>
    </row>
    <row r="68" spans="2:3">
      <c r="B68" s="295"/>
      <c r="C68" s="299"/>
    </row>
    <row r="69" spans="2:3">
      <c r="B69" s="295"/>
      <c r="C69" s="299"/>
    </row>
    <row r="70" spans="2:3">
      <c r="B70" s="295"/>
      <c r="C70" s="299"/>
    </row>
    <row r="71" spans="2:3">
      <c r="B71" s="295"/>
      <c r="C71" s="299"/>
    </row>
    <row r="72" spans="2:3">
      <c r="B72" s="19"/>
      <c r="C72" s="299"/>
    </row>
    <row r="73" spans="2:3">
      <c r="B73" s="19"/>
      <c r="C73" s="299"/>
    </row>
    <row r="74" spans="2:3">
      <c r="B74" s="19"/>
      <c r="C74" s="299"/>
    </row>
    <row r="75" spans="2:3">
      <c r="B75" s="19"/>
      <c r="C75" s="299"/>
    </row>
    <row r="76" spans="2:3">
      <c r="B76" s="19"/>
      <c r="C76" s="299"/>
    </row>
    <row r="77" spans="2:3">
      <c r="B77" s="19"/>
      <c r="C77" s="299"/>
    </row>
    <row r="78" spans="2:3">
      <c r="B78" s="19"/>
      <c r="C78" s="299"/>
    </row>
    <row r="79" spans="2:3">
      <c r="B79" s="19"/>
      <c r="C79" s="299"/>
    </row>
    <row r="80" spans="2:3">
      <c r="B80" s="19"/>
      <c r="C80" s="299"/>
    </row>
    <row r="81" spans="2:3">
      <c r="B81" s="19"/>
      <c r="C81" s="299"/>
    </row>
    <row r="82" spans="2:3">
      <c r="B82" s="19"/>
      <c r="C82" s="299"/>
    </row>
    <row r="83" spans="2:3">
      <c r="B83" s="19"/>
      <c r="C83" s="299"/>
    </row>
    <row r="84" spans="2:3">
      <c r="B84" s="19"/>
      <c r="C84" s="299"/>
    </row>
    <row r="85" spans="2:3">
      <c r="B85" s="19"/>
      <c r="C85" s="299"/>
    </row>
    <row r="86" spans="2:3">
      <c r="B86" s="19"/>
      <c r="C86" s="299"/>
    </row>
    <row r="87" spans="2:3">
      <c r="B87" s="19"/>
      <c r="C87" s="299"/>
    </row>
    <row r="88" spans="2:3">
      <c r="B88" s="19"/>
      <c r="C88" s="299"/>
    </row>
    <row r="89" spans="2:3">
      <c r="B89" s="19"/>
      <c r="C89" s="299"/>
    </row>
    <row r="90" spans="2:3">
      <c r="B90" s="19"/>
      <c r="C90" s="299"/>
    </row>
    <row r="91" spans="2:3">
      <c r="B91" s="19"/>
      <c r="C91" s="299"/>
    </row>
    <row r="92" spans="2:3">
      <c r="B92" s="19"/>
      <c r="C92" s="299"/>
    </row>
    <row r="93" spans="2:3">
      <c r="B93" s="19"/>
      <c r="C93" s="299"/>
    </row>
    <row r="94" spans="2:3">
      <c r="B94" s="19"/>
      <c r="C94" s="299"/>
    </row>
    <row r="95" spans="2:3">
      <c r="B95" s="19"/>
      <c r="C95" s="299"/>
    </row>
    <row r="96" spans="2:3">
      <c r="B96" s="19"/>
      <c r="C96" s="299"/>
    </row>
    <row r="97" spans="2:3">
      <c r="B97" s="19"/>
      <c r="C97" s="299"/>
    </row>
    <row r="98" spans="2:3">
      <c r="B98" s="19"/>
      <c r="C98" s="299"/>
    </row>
    <row r="99" spans="2:3">
      <c r="B99" s="19"/>
      <c r="C99" s="299"/>
    </row>
    <row r="100" spans="2:3">
      <c r="B100" s="19"/>
      <c r="C100" s="299"/>
    </row>
    <row r="101" spans="2:3">
      <c r="B101" s="19"/>
      <c r="C101" s="299"/>
    </row>
    <row r="102" spans="2:3">
      <c r="B102" s="19"/>
      <c r="C102" s="299"/>
    </row>
    <row r="103" spans="2:3">
      <c r="B103" s="19"/>
      <c r="C103" s="299"/>
    </row>
    <row r="104" spans="2:3">
      <c r="B104" s="19"/>
      <c r="C104" s="299"/>
    </row>
    <row r="105" spans="2:3">
      <c r="B105" s="19"/>
      <c r="C105" s="299"/>
    </row>
    <row r="106" spans="2:3">
      <c r="B106" s="19"/>
      <c r="C106" s="299"/>
    </row>
    <row r="107" spans="2:3">
      <c r="B107" s="19"/>
      <c r="C107" s="299"/>
    </row>
    <row r="108" spans="2:3">
      <c r="B108" s="19"/>
      <c r="C108" s="299"/>
    </row>
    <row r="109" spans="2:3">
      <c r="B109" s="19"/>
      <c r="C109" s="299"/>
    </row>
    <row r="110" spans="2:3">
      <c r="B110" s="19"/>
      <c r="C110" s="299"/>
    </row>
    <row r="111" spans="2:3">
      <c r="B111" s="19"/>
      <c r="C111" s="299"/>
    </row>
    <row r="112" spans="2:3">
      <c r="B112" s="19"/>
      <c r="C112" s="299"/>
    </row>
    <row r="113" spans="2:3">
      <c r="B113" s="19"/>
      <c r="C113" s="299"/>
    </row>
    <row r="114" spans="2:3">
      <c r="B114" s="19"/>
      <c r="C114" s="299"/>
    </row>
    <row r="115" spans="2:3">
      <c r="B115" s="19"/>
      <c r="C115" s="299"/>
    </row>
    <row r="116" spans="2:3">
      <c r="B116" s="19"/>
      <c r="C116" s="299"/>
    </row>
    <row r="117" spans="2:3">
      <c r="B117" s="19"/>
      <c r="C117" s="299"/>
    </row>
    <row r="118" spans="2:3">
      <c r="B118" s="19"/>
      <c r="C118" s="299"/>
    </row>
    <row r="119" spans="2:3">
      <c r="B119" s="19"/>
      <c r="C119" s="299"/>
    </row>
    <row r="120" spans="2:3">
      <c r="B120" s="19"/>
      <c r="C120" s="299"/>
    </row>
    <row r="121" spans="2:3">
      <c r="B121" s="19"/>
      <c r="C121" s="299"/>
    </row>
    <row r="122" spans="2:3">
      <c r="B122" s="19"/>
      <c r="C122" s="299"/>
    </row>
    <row r="123" spans="2:3">
      <c r="B123" s="19"/>
      <c r="C123" s="299"/>
    </row>
    <row r="124" spans="2:3">
      <c r="B124" s="19"/>
      <c r="C124" s="299"/>
    </row>
    <row r="125" spans="2:3">
      <c r="B125" s="19"/>
      <c r="C125" s="299"/>
    </row>
    <row r="126" spans="2:3">
      <c r="B126" s="19"/>
      <c r="C126" s="299"/>
    </row>
    <row r="127" spans="2:3">
      <c r="B127" s="19"/>
      <c r="C127" s="299"/>
    </row>
    <row r="128" spans="2:3">
      <c r="B128" s="19"/>
      <c r="C128" s="299"/>
    </row>
    <row r="129" spans="2:3">
      <c r="B129" s="19"/>
      <c r="C129" s="299"/>
    </row>
    <row r="130" spans="2:3">
      <c r="B130" s="19"/>
      <c r="C130" s="299"/>
    </row>
    <row r="131" spans="2:3">
      <c r="B131" s="19"/>
      <c r="C131" s="299"/>
    </row>
    <row r="132" spans="2:3">
      <c r="B132" s="19"/>
      <c r="C132" s="299"/>
    </row>
    <row r="133" spans="2:3">
      <c r="B133" s="19"/>
      <c r="C133" s="299"/>
    </row>
    <row r="134" spans="2:3">
      <c r="B134" s="19"/>
      <c r="C134" s="299"/>
    </row>
    <row r="135" spans="2:3">
      <c r="B135" s="19"/>
      <c r="C135" s="299"/>
    </row>
    <row r="136" spans="2:3">
      <c r="B136" s="19"/>
      <c r="C136" s="299"/>
    </row>
    <row r="137" spans="2:3">
      <c r="B137" s="19"/>
      <c r="C137" s="299"/>
    </row>
    <row r="138" spans="2:3">
      <c r="B138" s="19"/>
      <c r="C138" s="299"/>
    </row>
    <row r="139" spans="2:3">
      <c r="B139" s="19"/>
      <c r="C139" s="299"/>
    </row>
    <row r="140" spans="2:3">
      <c r="B140" s="19"/>
      <c r="C140" s="299"/>
    </row>
    <row r="141" spans="2:3">
      <c r="B141" s="19"/>
      <c r="C141" s="299"/>
    </row>
    <row r="142" spans="2:3">
      <c r="B142" s="19"/>
      <c r="C142" s="299"/>
    </row>
    <row r="143" spans="2:3">
      <c r="B143" s="19"/>
      <c r="C143" s="299"/>
    </row>
    <row r="144" spans="2:3">
      <c r="B144" s="19"/>
      <c r="C144" s="299"/>
    </row>
    <row r="145" spans="2:3">
      <c r="B145" s="19"/>
      <c r="C145" s="299"/>
    </row>
    <row r="146" spans="2:3">
      <c r="B146" s="19"/>
      <c r="C146" s="299"/>
    </row>
    <row r="147" spans="2:3">
      <c r="B147" s="19"/>
      <c r="C147" s="299"/>
    </row>
    <row r="148" spans="2:3">
      <c r="B148" s="19"/>
      <c r="C148" s="299"/>
    </row>
    <row r="149" spans="2:3">
      <c r="B149" s="19"/>
      <c r="C149" s="299"/>
    </row>
    <row r="150" spans="2:3">
      <c r="B150" s="19"/>
      <c r="C150" s="299"/>
    </row>
    <row r="151" spans="2:3">
      <c r="B151" s="19"/>
      <c r="C151" s="299"/>
    </row>
    <row r="152" spans="2:3">
      <c r="B152" s="19"/>
      <c r="C152" s="299"/>
    </row>
    <row r="153" spans="2:3">
      <c r="B153" s="19"/>
      <c r="C153" s="299"/>
    </row>
    <row r="154" spans="2:3">
      <c r="B154" s="19"/>
      <c r="C154" s="299"/>
    </row>
    <row r="155" spans="2:3">
      <c r="B155" s="19"/>
      <c r="C155" s="299"/>
    </row>
    <row r="156" spans="2:3">
      <c r="B156" s="19"/>
      <c r="C156" s="299"/>
    </row>
    <row r="157" spans="2:3">
      <c r="B157" s="19"/>
      <c r="C157" s="299"/>
    </row>
    <row r="158" spans="2:3">
      <c r="B158" s="19"/>
      <c r="C158" s="299"/>
    </row>
    <row r="159" spans="2:3">
      <c r="B159" s="19"/>
      <c r="C159" s="299"/>
    </row>
    <row r="160" spans="2:3">
      <c r="B160" s="19"/>
      <c r="C160" s="299"/>
    </row>
  </sheetData>
  <mergeCells count="8">
    <mergeCell ref="A33:A34"/>
    <mergeCell ref="A36:A37"/>
    <mergeCell ref="A41:A42"/>
    <mergeCell ref="A1:F1"/>
    <mergeCell ref="A27:A28"/>
    <mergeCell ref="B27:B28"/>
    <mergeCell ref="D27:D28"/>
    <mergeCell ref="A30:A31"/>
  </mergeCells>
  <phoneticPr fontId="5" type="noConversion"/>
  <pageMargins left="0.43307086614173229" right="0.27559055118110237" top="0.23622047244094491" bottom="0.35433070866141736" header="0.31496062992125984" footer="0.31496062992125984"/>
  <pageSetup paperSize="9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63"/>
  <sheetViews>
    <sheetView zoomScaleNormal="100" workbookViewId="0">
      <pane ySplit="2" topLeftCell="A42" activePane="bottomLeft" state="frozen"/>
      <selection activeCell="E63" sqref="E63"/>
      <selection pane="bottomLeft" activeCell="D54" sqref="D54"/>
    </sheetView>
  </sheetViews>
  <sheetFormatPr defaultColWidth="8.875" defaultRowHeight="15.75"/>
  <cols>
    <col min="1" max="1" width="5.5" style="302" bestFit="1" customWidth="1"/>
    <col min="2" max="2" width="24.75" style="302" customWidth="1"/>
    <col min="3" max="3" width="15.5" style="302" customWidth="1"/>
    <col min="4" max="4" width="44.125" style="302" customWidth="1"/>
    <col min="5" max="5" width="26.125" style="302" customWidth="1"/>
    <col min="6" max="16384" width="8.875" style="302"/>
  </cols>
  <sheetData>
    <row r="1" spans="2:5">
      <c r="D1" s="302" t="s">
        <v>896</v>
      </c>
    </row>
    <row r="2" spans="2:5">
      <c r="B2" s="303" t="s">
        <v>216</v>
      </c>
      <c r="C2" s="303" t="s">
        <v>217</v>
      </c>
      <c r="D2" s="303" t="s">
        <v>218</v>
      </c>
      <c r="E2" s="303" t="s">
        <v>767</v>
      </c>
    </row>
    <row r="3" spans="2:5">
      <c r="B3" s="304" t="s">
        <v>219</v>
      </c>
      <c r="C3" s="304" t="s">
        <v>805</v>
      </c>
      <c r="D3" s="304" t="s">
        <v>829</v>
      </c>
      <c r="E3" s="304"/>
    </row>
    <row r="4" spans="2:5">
      <c r="B4" s="304" t="s">
        <v>220</v>
      </c>
      <c r="C4" s="305" t="s">
        <v>565</v>
      </c>
      <c r="D4" s="304" t="s">
        <v>564</v>
      </c>
      <c r="E4" s="304"/>
    </row>
    <row r="5" spans="2:5">
      <c r="B5" s="869" t="s">
        <v>221</v>
      </c>
      <c r="C5" s="304" t="s">
        <v>222</v>
      </c>
      <c r="D5" s="304" t="s">
        <v>223</v>
      </c>
      <c r="E5" s="304"/>
    </row>
    <row r="6" spans="2:5">
      <c r="B6" s="870"/>
      <c r="C6" s="310" t="s">
        <v>224</v>
      </c>
      <c r="D6" s="310" t="s">
        <v>225</v>
      </c>
      <c r="E6" s="304" t="s">
        <v>764</v>
      </c>
    </row>
    <row r="7" spans="2:5">
      <c r="B7" s="869" t="s">
        <v>226</v>
      </c>
      <c r="C7" s="304" t="s">
        <v>227</v>
      </c>
      <c r="D7" s="304" t="s">
        <v>228</v>
      </c>
      <c r="E7" s="304"/>
    </row>
    <row r="8" spans="2:5">
      <c r="B8" s="873"/>
      <c r="C8" s="304" t="s">
        <v>229</v>
      </c>
      <c r="D8" s="304" t="s">
        <v>230</v>
      </c>
      <c r="E8" s="304"/>
    </row>
    <row r="9" spans="2:5">
      <c r="B9" s="870"/>
      <c r="C9" s="310" t="s">
        <v>845</v>
      </c>
      <c r="D9" s="310" t="s">
        <v>855</v>
      </c>
      <c r="E9" s="304"/>
    </row>
    <row r="10" spans="2:5">
      <c r="B10" s="873" t="s">
        <v>954</v>
      </c>
      <c r="C10" s="304" t="s">
        <v>259</v>
      </c>
      <c r="D10" s="304" t="s">
        <v>260</v>
      </c>
      <c r="E10" s="304"/>
    </row>
    <row r="11" spans="2:5">
      <c r="B11" s="873"/>
      <c r="C11" s="310" t="s">
        <v>546</v>
      </c>
      <c r="D11" s="310" t="s">
        <v>545</v>
      </c>
      <c r="E11" s="304" t="s">
        <v>800</v>
      </c>
    </row>
    <row r="12" spans="2:5" ht="16.5">
      <c r="B12" s="870"/>
      <c r="C12" s="310" t="s">
        <v>888</v>
      </c>
      <c r="D12" s="313" t="s">
        <v>889</v>
      </c>
      <c r="E12" s="304" t="s">
        <v>764</v>
      </c>
    </row>
    <row r="13" spans="2:5">
      <c r="B13" s="304" t="s">
        <v>581</v>
      </c>
      <c r="C13" s="304" t="s">
        <v>589</v>
      </c>
      <c r="D13" s="304" t="s">
        <v>628</v>
      </c>
      <c r="E13" s="304"/>
    </row>
    <row r="14" spans="2:5">
      <c r="B14" s="871" t="s">
        <v>629</v>
      </c>
      <c r="C14" s="871" t="s">
        <v>630</v>
      </c>
      <c r="D14" s="304" t="s">
        <v>631</v>
      </c>
      <c r="E14" s="304"/>
    </row>
    <row r="15" spans="2:5">
      <c r="B15" s="872"/>
      <c r="C15" s="872"/>
      <c r="D15" s="304" t="s">
        <v>765</v>
      </c>
      <c r="E15" s="304" t="s">
        <v>766</v>
      </c>
    </row>
    <row r="16" spans="2:5">
      <c r="B16" s="304" t="s">
        <v>254</v>
      </c>
      <c r="C16" s="304" t="s">
        <v>255</v>
      </c>
      <c r="D16" s="304" t="s">
        <v>256</v>
      </c>
      <c r="E16" s="304"/>
    </row>
    <row r="17" spans="2:5" ht="16.5" customHeight="1">
      <c r="B17" s="869" t="s">
        <v>231</v>
      </c>
      <c r="C17" s="304" t="s">
        <v>791</v>
      </c>
      <c r="D17" s="304" t="s">
        <v>790</v>
      </c>
      <c r="E17" s="304"/>
    </row>
    <row r="18" spans="2:5">
      <c r="B18" s="873"/>
      <c r="C18" s="304" t="s">
        <v>232</v>
      </c>
      <c r="D18" s="304" t="s">
        <v>233</v>
      </c>
      <c r="E18" s="304"/>
    </row>
    <row r="19" spans="2:5" ht="16.5">
      <c r="B19" s="873"/>
      <c r="C19" s="310" t="s">
        <v>789</v>
      </c>
      <c r="D19" s="313" t="s">
        <v>786</v>
      </c>
      <c r="E19" s="869" t="s">
        <v>792</v>
      </c>
    </row>
    <row r="20" spans="2:5" ht="16.5">
      <c r="B20" s="870"/>
      <c r="C20" s="310" t="s">
        <v>788</v>
      </c>
      <c r="D20" s="314" t="s">
        <v>787</v>
      </c>
      <c r="E20" s="870"/>
    </row>
    <row r="21" spans="2:5">
      <c r="B21" s="304" t="s">
        <v>234</v>
      </c>
      <c r="C21" s="304" t="s">
        <v>872</v>
      </c>
      <c r="D21" s="304" t="s">
        <v>873</v>
      </c>
      <c r="E21" s="304"/>
    </row>
    <row r="22" spans="2:5">
      <c r="B22" s="869" t="s">
        <v>235</v>
      </c>
      <c r="C22" s="304" t="s">
        <v>236</v>
      </c>
      <c r="D22" s="304" t="s">
        <v>237</v>
      </c>
      <c r="E22" s="304"/>
    </row>
    <row r="23" spans="2:5">
      <c r="B23" s="870"/>
      <c r="C23" s="310" t="s">
        <v>551</v>
      </c>
      <c r="D23" s="310" t="s">
        <v>552</v>
      </c>
      <c r="E23" s="304" t="s">
        <v>764</v>
      </c>
    </row>
    <row r="24" spans="2:5">
      <c r="B24" s="869" t="s">
        <v>702</v>
      </c>
      <c r="C24" s="304" t="s">
        <v>700</v>
      </c>
      <c r="D24" s="304" t="s">
        <v>701</v>
      </c>
      <c r="E24" s="304"/>
    </row>
    <row r="25" spans="2:5">
      <c r="B25" s="873"/>
      <c r="C25" s="243" t="s">
        <v>856</v>
      </c>
      <c r="D25" s="304" t="s">
        <v>857</v>
      </c>
      <c r="E25" s="304"/>
    </row>
    <row r="26" spans="2:5" s="307" customFormat="1" ht="16.5" customHeight="1">
      <c r="B26" s="869" t="s">
        <v>1155</v>
      </c>
      <c r="C26" s="306" t="s">
        <v>890</v>
      </c>
      <c r="D26" s="304" t="s">
        <v>614</v>
      </c>
      <c r="E26" s="306"/>
    </row>
    <row r="27" spans="2:5" s="307" customFormat="1" ht="16.5" customHeight="1">
      <c r="B27" s="870"/>
      <c r="C27" s="306" t="s">
        <v>616</v>
      </c>
      <c r="D27" s="304" t="s">
        <v>615</v>
      </c>
      <c r="E27" s="306"/>
    </row>
    <row r="28" spans="2:5" s="307" customFormat="1" ht="16.5" customHeight="1">
      <c r="B28" s="306" t="s">
        <v>762</v>
      </c>
      <c r="C28" s="306" t="s">
        <v>741</v>
      </c>
      <c r="D28" s="304" t="s">
        <v>763</v>
      </c>
      <c r="E28" s="306"/>
    </row>
    <row r="29" spans="2:5">
      <c r="B29" s="304" t="s">
        <v>261</v>
      </c>
      <c r="C29" s="304" t="s">
        <v>590</v>
      </c>
      <c r="D29" s="304" t="s">
        <v>262</v>
      </c>
      <c r="E29" s="304"/>
    </row>
    <row r="30" spans="2:5">
      <c r="B30" s="869" t="s">
        <v>827</v>
      </c>
      <c r="C30" s="304" t="s">
        <v>583</v>
      </c>
      <c r="D30" s="304" t="s">
        <v>584</v>
      </c>
      <c r="E30" s="304"/>
    </row>
    <row r="31" spans="2:5">
      <c r="B31" s="870"/>
      <c r="C31" s="304" t="s">
        <v>858</v>
      </c>
      <c r="D31" s="304" t="s">
        <v>859</v>
      </c>
      <c r="E31" s="304"/>
    </row>
    <row r="32" spans="2:5">
      <c r="B32" s="304" t="s">
        <v>825</v>
      </c>
      <c r="C32" s="304" t="s">
        <v>238</v>
      </c>
      <c r="D32" s="304" t="s">
        <v>860</v>
      </c>
      <c r="E32" s="304"/>
    </row>
    <row r="33" spans="2:5">
      <c r="B33" s="304" t="s">
        <v>826</v>
      </c>
      <c r="C33" s="304" t="s">
        <v>185</v>
      </c>
      <c r="D33" s="304" t="s">
        <v>861</v>
      </c>
      <c r="E33" s="304"/>
    </row>
    <row r="34" spans="2:5" ht="16.5">
      <c r="B34" s="869" t="s">
        <v>862</v>
      </c>
      <c r="C34" s="312" t="s">
        <v>874</v>
      </c>
      <c r="D34" s="348" t="s">
        <v>885</v>
      </c>
      <c r="E34" s="304"/>
    </row>
    <row r="35" spans="2:5" ht="16.5">
      <c r="B35" s="873"/>
      <c r="C35" s="304" t="s">
        <v>876</v>
      </c>
      <c r="D35" s="348" t="s">
        <v>886</v>
      </c>
      <c r="E35" s="304" t="s">
        <v>764</v>
      </c>
    </row>
    <row r="36" spans="2:5" ht="16.5">
      <c r="B36" s="870"/>
      <c r="C36" s="304" t="s">
        <v>878</v>
      </c>
      <c r="D36" s="348" t="s">
        <v>887</v>
      </c>
      <c r="E36" s="304"/>
    </row>
    <row r="37" spans="2:5">
      <c r="B37" s="304" t="s">
        <v>578</v>
      </c>
      <c r="C37" s="304" t="s">
        <v>579</v>
      </c>
      <c r="D37" s="304" t="s">
        <v>659</v>
      </c>
      <c r="E37" s="304"/>
    </row>
    <row r="38" spans="2:5">
      <c r="B38" s="869" t="s">
        <v>621</v>
      </c>
      <c r="C38" s="349" t="s">
        <v>620</v>
      </c>
      <c r="D38" s="349" t="s">
        <v>622</v>
      </c>
      <c r="E38" s="304" t="s">
        <v>764</v>
      </c>
    </row>
    <row r="39" spans="2:5">
      <c r="B39" s="870"/>
      <c r="C39" s="304" t="s">
        <v>657</v>
      </c>
      <c r="D39" s="304" t="s">
        <v>658</v>
      </c>
      <c r="E39" s="304"/>
    </row>
    <row r="40" spans="2:5">
      <c r="B40" s="304" t="s">
        <v>239</v>
      </c>
      <c r="C40" s="304" t="s">
        <v>890</v>
      </c>
      <c r="D40" s="304" t="s">
        <v>268</v>
      </c>
      <c r="E40" s="304"/>
    </row>
    <row r="41" spans="2:5">
      <c r="B41" s="304" t="s">
        <v>240</v>
      </c>
      <c r="C41" s="304" t="s">
        <v>624</v>
      </c>
      <c r="D41" s="304" t="s">
        <v>625</v>
      </c>
      <c r="E41" s="304"/>
    </row>
    <row r="42" spans="2:5" ht="16.5">
      <c r="B42" s="346" t="s">
        <v>241</v>
      </c>
      <c r="C42" s="304" t="s">
        <v>779</v>
      </c>
      <c r="D42" s="304" t="s">
        <v>769</v>
      </c>
      <c r="E42" s="311"/>
    </row>
    <row r="43" spans="2:5">
      <c r="B43" s="873"/>
      <c r="C43" s="304" t="s">
        <v>892</v>
      </c>
      <c r="D43" s="304" t="s">
        <v>891</v>
      </c>
      <c r="E43" s="304"/>
    </row>
    <row r="44" spans="2:5">
      <c r="B44" s="870"/>
      <c r="C44" s="349" t="s">
        <v>694</v>
      </c>
      <c r="D44" s="349" t="s">
        <v>693</v>
      </c>
      <c r="E44" s="304" t="s">
        <v>764</v>
      </c>
    </row>
    <row r="45" spans="2:5">
      <c r="B45" s="869" t="s">
        <v>242</v>
      </c>
      <c r="C45" s="304" t="s">
        <v>243</v>
      </c>
      <c r="D45" s="304" t="s">
        <v>244</v>
      </c>
      <c r="E45" s="304"/>
    </row>
    <row r="46" spans="2:5">
      <c r="B46" s="870"/>
      <c r="C46" s="304" t="s">
        <v>772</v>
      </c>
      <c r="D46" s="304" t="s">
        <v>773</v>
      </c>
      <c r="E46" s="304"/>
    </row>
    <row r="47" spans="2:5">
      <c r="B47" s="869" t="s">
        <v>245</v>
      </c>
      <c r="C47" s="304" t="s">
        <v>246</v>
      </c>
      <c r="D47" s="304" t="s">
        <v>247</v>
      </c>
      <c r="E47" s="304"/>
    </row>
    <row r="48" spans="2:5">
      <c r="B48" s="873"/>
      <c r="C48" s="304" t="s">
        <v>248</v>
      </c>
      <c r="D48" s="304" t="s">
        <v>249</v>
      </c>
      <c r="E48" s="304"/>
    </row>
    <row r="49" spans="2:5">
      <c r="B49" s="870"/>
      <c r="C49" s="304" t="s">
        <v>250</v>
      </c>
      <c r="D49" s="304" t="s">
        <v>251</v>
      </c>
      <c r="E49" s="304"/>
    </row>
    <row r="50" spans="2:5">
      <c r="B50" s="871" t="s">
        <v>640</v>
      </c>
      <c r="C50" s="304" t="s">
        <v>618</v>
      </c>
      <c r="D50" s="304" t="s">
        <v>619</v>
      </c>
      <c r="E50" s="304"/>
    </row>
    <row r="51" spans="2:5">
      <c r="B51" s="874"/>
      <c r="C51" s="304" t="s">
        <v>632</v>
      </c>
      <c r="D51" s="304" t="s">
        <v>633</v>
      </c>
      <c r="E51" s="304"/>
    </row>
    <row r="52" spans="2:5">
      <c r="B52" s="872"/>
      <c r="C52" s="304" t="s">
        <v>634</v>
      </c>
      <c r="D52" s="304" t="s">
        <v>635</v>
      </c>
      <c r="E52" s="304"/>
    </row>
    <row r="53" spans="2:5">
      <c r="B53" s="308" t="s">
        <v>698</v>
      </c>
      <c r="C53" s="304" t="s">
        <v>695</v>
      </c>
      <c r="D53" s="304" t="s">
        <v>699</v>
      </c>
      <c r="E53" s="304"/>
    </row>
    <row r="54" spans="2:5">
      <c r="B54" s="304" t="s">
        <v>828</v>
      </c>
      <c r="C54" s="309" t="s">
        <v>624</v>
      </c>
      <c r="D54" s="304" t="s">
        <v>638</v>
      </c>
      <c r="E54" s="304"/>
    </row>
    <row r="55" spans="2:5">
      <c r="B55" s="304" t="s">
        <v>264</v>
      </c>
      <c r="C55" s="304" t="s">
        <v>265</v>
      </c>
      <c r="D55" s="304" t="s">
        <v>266</v>
      </c>
      <c r="E55" s="304"/>
    </row>
    <row r="56" spans="2:5">
      <c r="B56" s="869" t="s">
        <v>650</v>
      </c>
      <c r="C56" s="304" t="s">
        <v>730</v>
      </c>
      <c r="D56" s="304" t="s">
        <v>649</v>
      </c>
      <c r="E56" s="304"/>
    </row>
    <row r="57" spans="2:5">
      <c r="B57" s="870"/>
      <c r="C57" s="304" t="s">
        <v>731</v>
      </c>
      <c r="D57" s="304" t="s">
        <v>732</v>
      </c>
      <c r="E57" s="304"/>
    </row>
    <row r="58" spans="2:5">
      <c r="B58" s="304" t="s">
        <v>252</v>
      </c>
      <c r="C58" s="304" t="s">
        <v>115</v>
      </c>
      <c r="D58" s="304" t="s">
        <v>253</v>
      </c>
      <c r="E58" s="304"/>
    </row>
    <row r="59" spans="2:5">
      <c r="B59" s="304" t="s">
        <v>537</v>
      </c>
      <c r="C59" s="304" t="s">
        <v>538</v>
      </c>
      <c r="D59" s="304" t="s">
        <v>582</v>
      </c>
      <c r="E59" s="304"/>
    </row>
    <row r="60" spans="2:5">
      <c r="B60" s="869" t="s">
        <v>807</v>
      </c>
      <c r="C60" s="304" t="s">
        <v>806</v>
      </c>
      <c r="D60" s="304" t="s">
        <v>808</v>
      </c>
      <c r="E60" s="304"/>
    </row>
    <row r="61" spans="2:5">
      <c r="B61" s="870"/>
      <c r="C61" s="349" t="s">
        <v>894</v>
      </c>
      <c r="D61" s="349" t="s">
        <v>893</v>
      </c>
      <c r="E61" s="304" t="s">
        <v>764</v>
      </c>
    </row>
    <row r="62" spans="2:5">
      <c r="B62" s="869" t="s">
        <v>257</v>
      </c>
      <c r="C62" s="304" t="s">
        <v>123</v>
      </c>
      <c r="D62" s="304" t="s">
        <v>258</v>
      </c>
      <c r="E62" s="304"/>
    </row>
    <row r="63" spans="2:5">
      <c r="B63" s="870"/>
      <c r="C63" s="304" t="s">
        <v>125</v>
      </c>
      <c r="D63" s="304" t="s">
        <v>263</v>
      </c>
      <c r="E63" s="304"/>
    </row>
  </sheetData>
  <autoFilter ref="A2:D63" xr:uid="{00000000-0009-0000-0000-000005000000}">
    <sortState xmlns:xlrd2="http://schemas.microsoft.com/office/spreadsheetml/2017/richdata2" ref="A3:D63">
      <sortCondition ref="B2:B63"/>
    </sortState>
  </autoFilter>
  <mergeCells count="20">
    <mergeCell ref="B5:B6"/>
    <mergeCell ref="B7:B9"/>
    <mergeCell ref="B24:B25"/>
    <mergeCell ref="B26:B27"/>
    <mergeCell ref="B14:B15"/>
    <mergeCell ref="B10:B12"/>
    <mergeCell ref="B22:B23"/>
    <mergeCell ref="B17:B20"/>
    <mergeCell ref="E19:E20"/>
    <mergeCell ref="C14:C15"/>
    <mergeCell ref="B62:B63"/>
    <mergeCell ref="B45:B46"/>
    <mergeCell ref="B34:B36"/>
    <mergeCell ref="B38:B39"/>
    <mergeCell ref="B43:B44"/>
    <mergeCell ref="B47:B49"/>
    <mergeCell ref="B50:B52"/>
    <mergeCell ref="B56:B57"/>
    <mergeCell ref="B30:B31"/>
    <mergeCell ref="B60:B61"/>
  </mergeCells>
  <phoneticPr fontId="2" type="noConversion"/>
  <hyperlinks>
    <hyperlink ref="D40" r:id="rId1" xr:uid="{00000000-0004-0000-0500-000000000000}"/>
    <hyperlink ref="D59" r:id="rId2" xr:uid="{00000000-0004-0000-0500-000001000000}"/>
    <hyperlink ref="D23" r:id="rId3" xr:uid="{00000000-0004-0000-0500-000002000000}"/>
    <hyperlink ref="D4" r:id="rId4" xr:uid="{00000000-0004-0000-0500-000003000000}"/>
    <hyperlink ref="D54" r:id="rId5" xr:uid="{00000000-0004-0000-0500-000004000000}"/>
    <hyperlink ref="D37" r:id="rId6" xr:uid="{00000000-0004-0000-0500-000005000000}"/>
    <hyperlink ref="D30" r:id="rId7" xr:uid="{00000000-0004-0000-0500-000008000000}"/>
    <hyperlink ref="D26" r:id="rId8" xr:uid="{00000000-0004-0000-0500-000009000000}"/>
    <hyperlink ref="D27" r:id="rId9" xr:uid="{00000000-0004-0000-0500-00000A000000}"/>
    <hyperlink ref="D50" r:id="rId10" xr:uid="{00000000-0004-0000-0500-00000B000000}"/>
    <hyperlink ref="D38" r:id="rId11" xr:uid="{00000000-0004-0000-0500-00000C000000}"/>
    <hyperlink ref="D41" r:id="rId12" xr:uid="{00000000-0004-0000-0500-00000D000000}"/>
    <hyperlink ref="D15" r:id="rId13" xr:uid="{00000000-0004-0000-0500-00000E000000}"/>
    <hyperlink ref="D51" r:id="rId14" xr:uid="{00000000-0004-0000-0500-00000F000000}"/>
    <hyperlink ref="D52" r:id="rId15" xr:uid="{00000000-0004-0000-0500-000010000000}"/>
    <hyperlink ref="D39" r:id="rId16" xr:uid="{00000000-0004-0000-0500-000011000000}"/>
    <hyperlink ref="D24" r:id="rId17" xr:uid="{00000000-0004-0000-0500-000012000000}"/>
    <hyperlink ref="D57" r:id="rId18" display="mailto:katniss.wu@interasialine.com" xr:uid="{00000000-0004-0000-0500-000016000000}"/>
    <hyperlink ref="D42" r:id="rId19" xr:uid="{00000000-0004-0000-0500-000019000000}"/>
    <hyperlink ref="D19" r:id="rId20" display="mailto:Emily-Huang@marubeni.com" xr:uid="{00000000-0004-0000-0500-00001B000000}"/>
    <hyperlink ref="D20" r:id="rId21" display="mailto:mikilee@marubeni-cks.com.tw" xr:uid="{00000000-0004-0000-0500-00001C000000}"/>
    <hyperlink ref="D34" r:id="rId22" xr:uid="{8F7B7294-9517-4723-B2E4-E921DD6E6EAD}"/>
    <hyperlink ref="D35" r:id="rId23" xr:uid="{9FA6900E-9499-42E8-B0B8-238EF0AFE233}"/>
    <hyperlink ref="D36" r:id="rId24" xr:uid="{868C56FD-E543-4445-AAA9-04EE3B53DDBF}"/>
  </hyperlinks>
  <pageMargins left="0.7" right="0.7" top="0.75" bottom="0.75" header="0.3" footer="0.3"/>
  <pageSetup paperSize="9" orientation="portrait" r:id="rId2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9"/>
  <sheetViews>
    <sheetView view="pageBreakPreview" zoomScale="70" zoomScaleNormal="70" zoomScaleSheetLayoutView="70" workbookViewId="0">
      <selection activeCell="B27" sqref="B27"/>
    </sheetView>
  </sheetViews>
  <sheetFormatPr defaultRowHeight="15.75"/>
  <cols>
    <col min="1" max="1" width="12.125" style="14" customWidth="1"/>
    <col min="2" max="2" width="43.5" style="11" customWidth="1"/>
    <col min="3" max="3" width="17.875" style="11" customWidth="1"/>
    <col min="4" max="254" width="9" style="11"/>
    <col min="255" max="255" width="8.25" style="11" customWidth="1"/>
    <col min="256" max="256" width="41.625" style="11" customWidth="1"/>
    <col min="257" max="257" width="16.5" style="11" customWidth="1"/>
    <col min="258" max="258" width="8.375" style="11" customWidth="1"/>
    <col min="259" max="259" width="15.25" style="11" customWidth="1"/>
    <col min="260" max="510" width="9" style="11"/>
    <col min="511" max="511" width="8.25" style="11" customWidth="1"/>
    <col min="512" max="512" width="41.625" style="11" customWidth="1"/>
    <col min="513" max="513" width="16.5" style="11" customWidth="1"/>
    <col min="514" max="514" width="8.375" style="11" customWidth="1"/>
    <col min="515" max="515" width="15.25" style="11" customWidth="1"/>
    <col min="516" max="766" width="9" style="11"/>
    <col min="767" max="767" width="8.25" style="11" customWidth="1"/>
    <col min="768" max="768" width="41.625" style="11" customWidth="1"/>
    <col min="769" max="769" width="16.5" style="11" customWidth="1"/>
    <col min="770" max="770" width="8.375" style="11" customWidth="1"/>
    <col min="771" max="771" width="15.25" style="11" customWidth="1"/>
    <col min="772" max="1022" width="9" style="11"/>
    <col min="1023" max="1023" width="8.25" style="11" customWidth="1"/>
    <col min="1024" max="1024" width="41.625" style="11" customWidth="1"/>
    <col min="1025" max="1025" width="16.5" style="11" customWidth="1"/>
    <col min="1026" max="1026" width="8.375" style="11" customWidth="1"/>
    <col min="1027" max="1027" width="15.25" style="11" customWidth="1"/>
    <col min="1028" max="1278" width="9" style="11"/>
    <col min="1279" max="1279" width="8.25" style="11" customWidth="1"/>
    <col min="1280" max="1280" width="41.625" style="11" customWidth="1"/>
    <col min="1281" max="1281" width="16.5" style="11" customWidth="1"/>
    <col min="1282" max="1282" width="8.375" style="11" customWidth="1"/>
    <col min="1283" max="1283" width="15.25" style="11" customWidth="1"/>
    <col min="1284" max="1534" width="9" style="11"/>
    <col min="1535" max="1535" width="8.25" style="11" customWidth="1"/>
    <col min="1536" max="1536" width="41.625" style="11" customWidth="1"/>
    <col min="1537" max="1537" width="16.5" style="11" customWidth="1"/>
    <col min="1538" max="1538" width="8.375" style="11" customWidth="1"/>
    <col min="1539" max="1539" width="15.25" style="11" customWidth="1"/>
    <col min="1540" max="1790" width="9" style="11"/>
    <col min="1791" max="1791" width="8.25" style="11" customWidth="1"/>
    <col min="1792" max="1792" width="41.625" style="11" customWidth="1"/>
    <col min="1793" max="1793" width="16.5" style="11" customWidth="1"/>
    <col min="1794" max="1794" width="8.375" style="11" customWidth="1"/>
    <col min="1795" max="1795" width="15.25" style="11" customWidth="1"/>
    <col min="1796" max="2046" width="9" style="11"/>
    <col min="2047" max="2047" width="8.25" style="11" customWidth="1"/>
    <col min="2048" max="2048" width="41.625" style="11" customWidth="1"/>
    <col min="2049" max="2049" width="16.5" style="11" customWidth="1"/>
    <col min="2050" max="2050" width="8.375" style="11" customWidth="1"/>
    <col min="2051" max="2051" width="15.25" style="11" customWidth="1"/>
    <col min="2052" max="2302" width="9" style="11"/>
    <col min="2303" max="2303" width="8.25" style="11" customWidth="1"/>
    <col min="2304" max="2304" width="41.625" style="11" customWidth="1"/>
    <col min="2305" max="2305" width="16.5" style="11" customWidth="1"/>
    <col min="2306" max="2306" width="8.375" style="11" customWidth="1"/>
    <col min="2307" max="2307" width="15.25" style="11" customWidth="1"/>
    <col min="2308" max="2558" width="9" style="11"/>
    <col min="2559" max="2559" width="8.25" style="11" customWidth="1"/>
    <col min="2560" max="2560" width="41.625" style="11" customWidth="1"/>
    <col min="2561" max="2561" width="16.5" style="11" customWidth="1"/>
    <col min="2562" max="2562" width="8.375" style="11" customWidth="1"/>
    <col min="2563" max="2563" width="15.25" style="11" customWidth="1"/>
    <col min="2564" max="2814" width="9" style="11"/>
    <col min="2815" max="2815" width="8.25" style="11" customWidth="1"/>
    <col min="2816" max="2816" width="41.625" style="11" customWidth="1"/>
    <col min="2817" max="2817" width="16.5" style="11" customWidth="1"/>
    <col min="2818" max="2818" width="8.375" style="11" customWidth="1"/>
    <col min="2819" max="2819" width="15.25" style="11" customWidth="1"/>
    <col min="2820" max="3070" width="9" style="11"/>
    <col min="3071" max="3071" width="8.25" style="11" customWidth="1"/>
    <col min="3072" max="3072" width="41.625" style="11" customWidth="1"/>
    <col min="3073" max="3073" width="16.5" style="11" customWidth="1"/>
    <col min="3074" max="3074" width="8.375" style="11" customWidth="1"/>
    <col min="3075" max="3075" width="15.25" style="11" customWidth="1"/>
    <col min="3076" max="3326" width="9" style="11"/>
    <col min="3327" max="3327" width="8.25" style="11" customWidth="1"/>
    <col min="3328" max="3328" width="41.625" style="11" customWidth="1"/>
    <col min="3329" max="3329" width="16.5" style="11" customWidth="1"/>
    <col min="3330" max="3330" width="8.375" style="11" customWidth="1"/>
    <col min="3331" max="3331" width="15.25" style="11" customWidth="1"/>
    <col min="3332" max="3582" width="9" style="11"/>
    <col min="3583" max="3583" width="8.25" style="11" customWidth="1"/>
    <col min="3584" max="3584" width="41.625" style="11" customWidth="1"/>
    <col min="3585" max="3585" width="16.5" style="11" customWidth="1"/>
    <col min="3586" max="3586" width="8.375" style="11" customWidth="1"/>
    <col min="3587" max="3587" width="15.25" style="11" customWidth="1"/>
    <col min="3588" max="3838" width="9" style="11"/>
    <col min="3839" max="3839" width="8.25" style="11" customWidth="1"/>
    <col min="3840" max="3840" width="41.625" style="11" customWidth="1"/>
    <col min="3841" max="3841" width="16.5" style="11" customWidth="1"/>
    <col min="3842" max="3842" width="8.375" style="11" customWidth="1"/>
    <col min="3843" max="3843" width="15.25" style="11" customWidth="1"/>
    <col min="3844" max="4094" width="9" style="11"/>
    <col min="4095" max="4095" width="8.25" style="11" customWidth="1"/>
    <col min="4096" max="4096" width="41.625" style="11" customWidth="1"/>
    <col min="4097" max="4097" width="16.5" style="11" customWidth="1"/>
    <col min="4098" max="4098" width="8.375" style="11" customWidth="1"/>
    <col min="4099" max="4099" width="15.25" style="11" customWidth="1"/>
    <col min="4100" max="4350" width="9" style="11"/>
    <col min="4351" max="4351" width="8.25" style="11" customWidth="1"/>
    <col min="4352" max="4352" width="41.625" style="11" customWidth="1"/>
    <col min="4353" max="4353" width="16.5" style="11" customWidth="1"/>
    <col min="4354" max="4354" width="8.375" style="11" customWidth="1"/>
    <col min="4355" max="4355" width="15.25" style="11" customWidth="1"/>
    <col min="4356" max="4606" width="9" style="11"/>
    <col min="4607" max="4607" width="8.25" style="11" customWidth="1"/>
    <col min="4608" max="4608" width="41.625" style="11" customWidth="1"/>
    <col min="4609" max="4609" width="16.5" style="11" customWidth="1"/>
    <col min="4610" max="4610" width="8.375" style="11" customWidth="1"/>
    <col min="4611" max="4611" width="15.25" style="11" customWidth="1"/>
    <col min="4612" max="4862" width="9" style="11"/>
    <col min="4863" max="4863" width="8.25" style="11" customWidth="1"/>
    <col min="4864" max="4864" width="41.625" style="11" customWidth="1"/>
    <col min="4865" max="4865" width="16.5" style="11" customWidth="1"/>
    <col min="4866" max="4866" width="8.375" style="11" customWidth="1"/>
    <col min="4867" max="4867" width="15.25" style="11" customWidth="1"/>
    <col min="4868" max="5118" width="9" style="11"/>
    <col min="5119" max="5119" width="8.25" style="11" customWidth="1"/>
    <col min="5120" max="5120" width="41.625" style="11" customWidth="1"/>
    <col min="5121" max="5121" width="16.5" style="11" customWidth="1"/>
    <col min="5122" max="5122" width="8.375" style="11" customWidth="1"/>
    <col min="5123" max="5123" width="15.25" style="11" customWidth="1"/>
    <col min="5124" max="5374" width="9" style="11"/>
    <col min="5375" max="5375" width="8.25" style="11" customWidth="1"/>
    <col min="5376" max="5376" width="41.625" style="11" customWidth="1"/>
    <col min="5377" max="5377" width="16.5" style="11" customWidth="1"/>
    <col min="5378" max="5378" width="8.375" style="11" customWidth="1"/>
    <col min="5379" max="5379" width="15.25" style="11" customWidth="1"/>
    <col min="5380" max="5630" width="9" style="11"/>
    <col min="5631" max="5631" width="8.25" style="11" customWidth="1"/>
    <col min="5632" max="5632" width="41.625" style="11" customWidth="1"/>
    <col min="5633" max="5633" width="16.5" style="11" customWidth="1"/>
    <col min="5634" max="5634" width="8.375" style="11" customWidth="1"/>
    <col min="5635" max="5635" width="15.25" style="11" customWidth="1"/>
    <col min="5636" max="5886" width="9" style="11"/>
    <col min="5887" max="5887" width="8.25" style="11" customWidth="1"/>
    <col min="5888" max="5888" width="41.625" style="11" customWidth="1"/>
    <col min="5889" max="5889" width="16.5" style="11" customWidth="1"/>
    <col min="5890" max="5890" width="8.375" style="11" customWidth="1"/>
    <col min="5891" max="5891" width="15.25" style="11" customWidth="1"/>
    <col min="5892" max="6142" width="9" style="11"/>
    <col min="6143" max="6143" width="8.25" style="11" customWidth="1"/>
    <col min="6144" max="6144" width="41.625" style="11" customWidth="1"/>
    <col min="6145" max="6145" width="16.5" style="11" customWidth="1"/>
    <col min="6146" max="6146" width="8.375" style="11" customWidth="1"/>
    <col min="6147" max="6147" width="15.25" style="11" customWidth="1"/>
    <col min="6148" max="6398" width="9" style="11"/>
    <col min="6399" max="6399" width="8.25" style="11" customWidth="1"/>
    <col min="6400" max="6400" width="41.625" style="11" customWidth="1"/>
    <col min="6401" max="6401" width="16.5" style="11" customWidth="1"/>
    <col min="6402" max="6402" width="8.375" style="11" customWidth="1"/>
    <col min="6403" max="6403" width="15.25" style="11" customWidth="1"/>
    <col min="6404" max="6654" width="9" style="11"/>
    <col min="6655" max="6655" width="8.25" style="11" customWidth="1"/>
    <col min="6656" max="6656" width="41.625" style="11" customWidth="1"/>
    <col min="6657" max="6657" width="16.5" style="11" customWidth="1"/>
    <col min="6658" max="6658" width="8.375" style="11" customWidth="1"/>
    <col min="6659" max="6659" width="15.25" style="11" customWidth="1"/>
    <col min="6660" max="6910" width="9" style="11"/>
    <col min="6911" max="6911" width="8.25" style="11" customWidth="1"/>
    <col min="6912" max="6912" width="41.625" style="11" customWidth="1"/>
    <col min="6913" max="6913" width="16.5" style="11" customWidth="1"/>
    <col min="6914" max="6914" width="8.375" style="11" customWidth="1"/>
    <col min="6915" max="6915" width="15.25" style="11" customWidth="1"/>
    <col min="6916" max="7166" width="9" style="11"/>
    <col min="7167" max="7167" width="8.25" style="11" customWidth="1"/>
    <col min="7168" max="7168" width="41.625" style="11" customWidth="1"/>
    <col min="7169" max="7169" width="16.5" style="11" customWidth="1"/>
    <col min="7170" max="7170" width="8.375" style="11" customWidth="1"/>
    <col min="7171" max="7171" width="15.25" style="11" customWidth="1"/>
    <col min="7172" max="7422" width="9" style="11"/>
    <col min="7423" max="7423" width="8.25" style="11" customWidth="1"/>
    <col min="7424" max="7424" width="41.625" style="11" customWidth="1"/>
    <col min="7425" max="7425" width="16.5" style="11" customWidth="1"/>
    <col min="7426" max="7426" width="8.375" style="11" customWidth="1"/>
    <col min="7427" max="7427" width="15.25" style="11" customWidth="1"/>
    <col min="7428" max="7678" width="9" style="11"/>
    <col min="7679" max="7679" width="8.25" style="11" customWidth="1"/>
    <col min="7680" max="7680" width="41.625" style="11" customWidth="1"/>
    <col min="7681" max="7681" width="16.5" style="11" customWidth="1"/>
    <col min="7682" max="7682" width="8.375" style="11" customWidth="1"/>
    <col min="7683" max="7683" width="15.25" style="11" customWidth="1"/>
    <col min="7684" max="7934" width="9" style="11"/>
    <col min="7935" max="7935" width="8.25" style="11" customWidth="1"/>
    <col min="7936" max="7936" width="41.625" style="11" customWidth="1"/>
    <col min="7937" max="7937" width="16.5" style="11" customWidth="1"/>
    <col min="7938" max="7938" width="8.375" style="11" customWidth="1"/>
    <col min="7939" max="7939" width="15.25" style="11" customWidth="1"/>
    <col min="7940" max="8190" width="9" style="11"/>
    <col min="8191" max="8191" width="8.25" style="11" customWidth="1"/>
    <col min="8192" max="8192" width="41.625" style="11" customWidth="1"/>
    <col min="8193" max="8193" width="16.5" style="11" customWidth="1"/>
    <col min="8194" max="8194" width="8.375" style="11" customWidth="1"/>
    <col min="8195" max="8195" width="15.25" style="11" customWidth="1"/>
    <col min="8196" max="8446" width="9" style="11"/>
    <col min="8447" max="8447" width="8.25" style="11" customWidth="1"/>
    <col min="8448" max="8448" width="41.625" style="11" customWidth="1"/>
    <col min="8449" max="8449" width="16.5" style="11" customWidth="1"/>
    <col min="8450" max="8450" width="8.375" style="11" customWidth="1"/>
    <col min="8451" max="8451" width="15.25" style="11" customWidth="1"/>
    <col min="8452" max="8702" width="9" style="11"/>
    <col min="8703" max="8703" width="8.25" style="11" customWidth="1"/>
    <col min="8704" max="8704" width="41.625" style="11" customWidth="1"/>
    <col min="8705" max="8705" width="16.5" style="11" customWidth="1"/>
    <col min="8706" max="8706" width="8.375" style="11" customWidth="1"/>
    <col min="8707" max="8707" width="15.25" style="11" customWidth="1"/>
    <col min="8708" max="8958" width="9" style="11"/>
    <col min="8959" max="8959" width="8.25" style="11" customWidth="1"/>
    <col min="8960" max="8960" width="41.625" style="11" customWidth="1"/>
    <col min="8961" max="8961" width="16.5" style="11" customWidth="1"/>
    <col min="8962" max="8962" width="8.375" style="11" customWidth="1"/>
    <col min="8963" max="8963" width="15.25" style="11" customWidth="1"/>
    <col min="8964" max="9214" width="9" style="11"/>
    <col min="9215" max="9215" width="8.25" style="11" customWidth="1"/>
    <col min="9216" max="9216" width="41.625" style="11" customWidth="1"/>
    <col min="9217" max="9217" width="16.5" style="11" customWidth="1"/>
    <col min="9218" max="9218" width="8.375" style="11" customWidth="1"/>
    <col min="9219" max="9219" width="15.25" style="11" customWidth="1"/>
    <col min="9220" max="9470" width="9" style="11"/>
    <col min="9471" max="9471" width="8.25" style="11" customWidth="1"/>
    <col min="9472" max="9472" width="41.625" style="11" customWidth="1"/>
    <col min="9473" max="9473" width="16.5" style="11" customWidth="1"/>
    <col min="9474" max="9474" width="8.375" style="11" customWidth="1"/>
    <col min="9475" max="9475" width="15.25" style="11" customWidth="1"/>
    <col min="9476" max="9726" width="9" style="11"/>
    <col min="9727" max="9727" width="8.25" style="11" customWidth="1"/>
    <col min="9728" max="9728" width="41.625" style="11" customWidth="1"/>
    <col min="9729" max="9729" width="16.5" style="11" customWidth="1"/>
    <col min="9730" max="9730" width="8.375" style="11" customWidth="1"/>
    <col min="9731" max="9731" width="15.25" style="11" customWidth="1"/>
    <col min="9732" max="9982" width="9" style="11"/>
    <col min="9983" max="9983" width="8.25" style="11" customWidth="1"/>
    <col min="9984" max="9984" width="41.625" style="11" customWidth="1"/>
    <col min="9985" max="9985" width="16.5" style="11" customWidth="1"/>
    <col min="9986" max="9986" width="8.375" style="11" customWidth="1"/>
    <col min="9987" max="9987" width="15.25" style="11" customWidth="1"/>
    <col min="9988" max="10238" width="9" style="11"/>
    <col min="10239" max="10239" width="8.25" style="11" customWidth="1"/>
    <col min="10240" max="10240" width="41.625" style="11" customWidth="1"/>
    <col min="10241" max="10241" width="16.5" style="11" customWidth="1"/>
    <col min="10242" max="10242" width="8.375" style="11" customWidth="1"/>
    <col min="10243" max="10243" width="15.25" style="11" customWidth="1"/>
    <col min="10244" max="10494" width="9" style="11"/>
    <col min="10495" max="10495" width="8.25" style="11" customWidth="1"/>
    <col min="10496" max="10496" width="41.625" style="11" customWidth="1"/>
    <col min="10497" max="10497" width="16.5" style="11" customWidth="1"/>
    <col min="10498" max="10498" width="8.375" style="11" customWidth="1"/>
    <col min="10499" max="10499" width="15.25" style="11" customWidth="1"/>
    <col min="10500" max="10750" width="9" style="11"/>
    <col min="10751" max="10751" width="8.25" style="11" customWidth="1"/>
    <col min="10752" max="10752" width="41.625" style="11" customWidth="1"/>
    <col min="10753" max="10753" width="16.5" style="11" customWidth="1"/>
    <col min="10754" max="10754" width="8.375" style="11" customWidth="1"/>
    <col min="10755" max="10755" width="15.25" style="11" customWidth="1"/>
    <col min="10756" max="11006" width="9" style="11"/>
    <col min="11007" max="11007" width="8.25" style="11" customWidth="1"/>
    <col min="11008" max="11008" width="41.625" style="11" customWidth="1"/>
    <col min="11009" max="11009" width="16.5" style="11" customWidth="1"/>
    <col min="11010" max="11010" width="8.375" style="11" customWidth="1"/>
    <col min="11011" max="11011" width="15.25" style="11" customWidth="1"/>
    <col min="11012" max="11262" width="9" style="11"/>
    <col min="11263" max="11263" width="8.25" style="11" customWidth="1"/>
    <col min="11264" max="11264" width="41.625" style="11" customWidth="1"/>
    <col min="11265" max="11265" width="16.5" style="11" customWidth="1"/>
    <col min="11266" max="11266" width="8.375" style="11" customWidth="1"/>
    <col min="11267" max="11267" width="15.25" style="11" customWidth="1"/>
    <col min="11268" max="11518" width="9" style="11"/>
    <col min="11519" max="11519" width="8.25" style="11" customWidth="1"/>
    <col min="11520" max="11520" width="41.625" style="11" customWidth="1"/>
    <col min="11521" max="11521" width="16.5" style="11" customWidth="1"/>
    <col min="11522" max="11522" width="8.375" style="11" customWidth="1"/>
    <col min="11523" max="11523" width="15.25" style="11" customWidth="1"/>
    <col min="11524" max="11774" width="9" style="11"/>
    <col min="11775" max="11775" width="8.25" style="11" customWidth="1"/>
    <col min="11776" max="11776" width="41.625" style="11" customWidth="1"/>
    <col min="11777" max="11777" width="16.5" style="11" customWidth="1"/>
    <col min="11778" max="11778" width="8.375" style="11" customWidth="1"/>
    <col min="11779" max="11779" width="15.25" style="11" customWidth="1"/>
    <col min="11780" max="12030" width="9" style="11"/>
    <col min="12031" max="12031" width="8.25" style="11" customWidth="1"/>
    <col min="12032" max="12032" width="41.625" style="11" customWidth="1"/>
    <col min="12033" max="12033" width="16.5" style="11" customWidth="1"/>
    <col min="12034" max="12034" width="8.375" style="11" customWidth="1"/>
    <col min="12035" max="12035" width="15.25" style="11" customWidth="1"/>
    <col min="12036" max="12286" width="9" style="11"/>
    <col min="12287" max="12287" width="8.25" style="11" customWidth="1"/>
    <col min="12288" max="12288" width="41.625" style="11" customWidth="1"/>
    <col min="12289" max="12289" width="16.5" style="11" customWidth="1"/>
    <col min="12290" max="12290" width="8.375" style="11" customWidth="1"/>
    <col min="12291" max="12291" width="15.25" style="11" customWidth="1"/>
    <col min="12292" max="12542" width="9" style="11"/>
    <col min="12543" max="12543" width="8.25" style="11" customWidth="1"/>
    <col min="12544" max="12544" width="41.625" style="11" customWidth="1"/>
    <col min="12545" max="12545" width="16.5" style="11" customWidth="1"/>
    <col min="12546" max="12546" width="8.375" style="11" customWidth="1"/>
    <col min="12547" max="12547" width="15.25" style="11" customWidth="1"/>
    <col min="12548" max="12798" width="9" style="11"/>
    <col min="12799" max="12799" width="8.25" style="11" customWidth="1"/>
    <col min="12800" max="12800" width="41.625" style="11" customWidth="1"/>
    <col min="12801" max="12801" width="16.5" style="11" customWidth="1"/>
    <col min="12802" max="12802" width="8.375" style="11" customWidth="1"/>
    <col min="12803" max="12803" width="15.25" style="11" customWidth="1"/>
    <col min="12804" max="13054" width="9" style="11"/>
    <col min="13055" max="13055" width="8.25" style="11" customWidth="1"/>
    <col min="13056" max="13056" width="41.625" style="11" customWidth="1"/>
    <col min="13057" max="13057" width="16.5" style="11" customWidth="1"/>
    <col min="13058" max="13058" width="8.375" style="11" customWidth="1"/>
    <col min="13059" max="13059" width="15.25" style="11" customWidth="1"/>
    <col min="13060" max="13310" width="9" style="11"/>
    <col min="13311" max="13311" width="8.25" style="11" customWidth="1"/>
    <col min="13312" max="13312" width="41.625" style="11" customWidth="1"/>
    <col min="13313" max="13313" width="16.5" style="11" customWidth="1"/>
    <col min="13314" max="13314" width="8.375" style="11" customWidth="1"/>
    <col min="13315" max="13315" width="15.25" style="11" customWidth="1"/>
    <col min="13316" max="13566" width="9" style="11"/>
    <col min="13567" max="13567" width="8.25" style="11" customWidth="1"/>
    <col min="13568" max="13568" width="41.625" style="11" customWidth="1"/>
    <col min="13569" max="13569" width="16.5" style="11" customWidth="1"/>
    <col min="13570" max="13570" width="8.375" style="11" customWidth="1"/>
    <col min="13571" max="13571" width="15.25" style="11" customWidth="1"/>
    <col min="13572" max="13822" width="9" style="11"/>
    <col min="13823" max="13823" width="8.25" style="11" customWidth="1"/>
    <col min="13824" max="13824" width="41.625" style="11" customWidth="1"/>
    <col min="13825" max="13825" width="16.5" style="11" customWidth="1"/>
    <col min="13826" max="13826" width="8.375" style="11" customWidth="1"/>
    <col min="13827" max="13827" width="15.25" style="11" customWidth="1"/>
    <col min="13828" max="14078" width="9" style="11"/>
    <col min="14079" max="14079" width="8.25" style="11" customWidth="1"/>
    <col min="14080" max="14080" width="41.625" style="11" customWidth="1"/>
    <col min="14081" max="14081" width="16.5" style="11" customWidth="1"/>
    <col min="14082" max="14082" width="8.375" style="11" customWidth="1"/>
    <col min="14083" max="14083" width="15.25" style="11" customWidth="1"/>
    <col min="14084" max="14334" width="9" style="11"/>
    <col min="14335" max="14335" width="8.25" style="11" customWidth="1"/>
    <col min="14336" max="14336" width="41.625" style="11" customWidth="1"/>
    <col min="14337" max="14337" width="16.5" style="11" customWidth="1"/>
    <col min="14338" max="14338" width="8.375" style="11" customWidth="1"/>
    <col min="14339" max="14339" width="15.25" style="11" customWidth="1"/>
    <col min="14340" max="14590" width="9" style="11"/>
    <col min="14591" max="14591" width="8.25" style="11" customWidth="1"/>
    <col min="14592" max="14592" width="41.625" style="11" customWidth="1"/>
    <col min="14593" max="14593" width="16.5" style="11" customWidth="1"/>
    <col min="14594" max="14594" width="8.375" style="11" customWidth="1"/>
    <col min="14595" max="14595" width="15.25" style="11" customWidth="1"/>
    <col min="14596" max="14846" width="9" style="11"/>
    <col min="14847" max="14847" width="8.25" style="11" customWidth="1"/>
    <col min="14848" max="14848" width="41.625" style="11" customWidth="1"/>
    <col min="14849" max="14849" width="16.5" style="11" customWidth="1"/>
    <col min="14850" max="14850" width="8.375" style="11" customWidth="1"/>
    <col min="14851" max="14851" width="15.25" style="11" customWidth="1"/>
    <col min="14852" max="15102" width="9" style="11"/>
    <col min="15103" max="15103" width="8.25" style="11" customWidth="1"/>
    <col min="15104" max="15104" width="41.625" style="11" customWidth="1"/>
    <col min="15105" max="15105" width="16.5" style="11" customWidth="1"/>
    <col min="15106" max="15106" width="8.375" style="11" customWidth="1"/>
    <col min="15107" max="15107" width="15.25" style="11" customWidth="1"/>
    <col min="15108" max="15358" width="9" style="11"/>
    <col min="15359" max="15359" width="8.25" style="11" customWidth="1"/>
    <col min="15360" max="15360" width="41.625" style="11" customWidth="1"/>
    <col min="15361" max="15361" width="16.5" style="11" customWidth="1"/>
    <col min="15362" max="15362" width="8.375" style="11" customWidth="1"/>
    <col min="15363" max="15363" width="15.25" style="11" customWidth="1"/>
    <col min="15364" max="15614" width="9" style="11"/>
    <col min="15615" max="15615" width="8.25" style="11" customWidth="1"/>
    <col min="15616" max="15616" width="41.625" style="11" customWidth="1"/>
    <col min="15617" max="15617" width="16.5" style="11" customWidth="1"/>
    <col min="15618" max="15618" width="8.375" style="11" customWidth="1"/>
    <col min="15619" max="15619" width="15.25" style="11" customWidth="1"/>
    <col min="15620" max="15870" width="9" style="11"/>
    <col min="15871" max="15871" width="8.25" style="11" customWidth="1"/>
    <col min="15872" max="15872" width="41.625" style="11" customWidth="1"/>
    <col min="15873" max="15873" width="16.5" style="11" customWidth="1"/>
    <col min="15874" max="15874" width="8.375" style="11" customWidth="1"/>
    <col min="15875" max="15875" width="15.25" style="11" customWidth="1"/>
    <col min="15876" max="16126" width="9" style="11"/>
    <col min="16127" max="16127" width="8.25" style="11" customWidth="1"/>
    <col min="16128" max="16128" width="41.625" style="11" customWidth="1"/>
    <col min="16129" max="16129" width="16.5" style="11" customWidth="1"/>
    <col min="16130" max="16130" width="8.375" style="11" customWidth="1"/>
    <col min="16131" max="16131" width="15.25" style="11" customWidth="1"/>
    <col min="16132" max="16384" width="9" style="11"/>
  </cols>
  <sheetData>
    <row r="1" spans="1:3" ht="24" customHeight="1">
      <c r="A1" s="875" t="s">
        <v>905</v>
      </c>
      <c r="B1" s="875"/>
      <c r="C1" s="875"/>
    </row>
    <row r="2" spans="1:3" ht="24" customHeight="1">
      <c r="A2" s="12" t="s">
        <v>37</v>
      </c>
      <c r="B2" s="12" t="s">
        <v>498</v>
      </c>
      <c r="C2" s="12" t="s">
        <v>576</v>
      </c>
    </row>
    <row r="3" spans="1:3" ht="24" customHeight="1">
      <c r="A3" s="12" t="s">
        <v>499</v>
      </c>
      <c r="B3" s="13" t="s">
        <v>726</v>
      </c>
      <c r="C3" s="12"/>
    </row>
    <row r="4" spans="1:3" ht="24" customHeight="1">
      <c r="A4" s="12" t="s">
        <v>594</v>
      </c>
      <c r="B4" s="232" t="s">
        <v>591</v>
      </c>
      <c r="C4" s="12"/>
    </row>
    <row r="5" spans="1:3" ht="24" customHeight="1">
      <c r="A5" s="12" t="s">
        <v>594</v>
      </c>
      <c r="B5" s="232" t="s">
        <v>598</v>
      </c>
      <c r="C5" s="12"/>
    </row>
    <row r="6" spans="1:3" ht="24" customHeight="1">
      <c r="A6" s="12" t="s">
        <v>78</v>
      </c>
      <c r="B6" s="13" t="s">
        <v>500</v>
      </c>
      <c r="C6" s="12"/>
    </row>
    <row r="7" spans="1:3" ht="24" customHeight="1">
      <c r="A7" s="12" t="s">
        <v>78</v>
      </c>
      <c r="B7" s="13" t="s">
        <v>501</v>
      </c>
      <c r="C7" s="12"/>
    </row>
    <row r="8" spans="1:3" ht="24" customHeight="1">
      <c r="A8" s="12" t="s">
        <v>78</v>
      </c>
      <c r="B8" s="13" t="s">
        <v>643</v>
      </c>
      <c r="C8" s="12"/>
    </row>
    <row r="9" spans="1:3" ht="24" customHeight="1">
      <c r="A9" s="12" t="s">
        <v>753</v>
      </c>
      <c r="B9" s="13" t="s">
        <v>502</v>
      </c>
      <c r="C9" s="12"/>
    </row>
    <row r="10" spans="1:3" ht="24" customHeight="1">
      <c r="A10" s="12" t="s">
        <v>503</v>
      </c>
      <c r="B10" s="13" t="s">
        <v>28</v>
      </c>
      <c r="C10" s="12"/>
    </row>
    <row r="11" spans="1:3" ht="24" customHeight="1">
      <c r="A11" s="12" t="s">
        <v>76</v>
      </c>
      <c r="B11" s="13" t="s">
        <v>642</v>
      </c>
      <c r="C11" s="12"/>
    </row>
    <row r="12" spans="1:3" ht="24" customHeight="1">
      <c r="A12" s="12" t="s">
        <v>76</v>
      </c>
      <c r="B12" s="13" t="s">
        <v>641</v>
      </c>
      <c r="C12" s="12"/>
    </row>
    <row r="13" spans="1:3" ht="24" customHeight="1">
      <c r="A13" s="12" t="s">
        <v>107</v>
      </c>
      <c r="B13" s="13" t="s">
        <v>690</v>
      </c>
      <c r="C13" s="12"/>
    </row>
    <row r="14" spans="1:3" ht="24" customHeight="1">
      <c r="A14" s="12" t="s">
        <v>504</v>
      </c>
      <c r="B14" s="13" t="s">
        <v>29</v>
      </c>
      <c r="C14" s="12"/>
    </row>
    <row r="15" spans="1:3" ht="24" customHeight="1">
      <c r="A15" s="12" t="s">
        <v>651</v>
      </c>
      <c r="B15" s="13" t="s">
        <v>661</v>
      </c>
      <c r="C15" s="12"/>
    </row>
    <row r="16" spans="1:3" ht="24" customHeight="1">
      <c r="A16" s="12" t="s">
        <v>72</v>
      </c>
      <c r="B16" s="13" t="s">
        <v>505</v>
      </c>
      <c r="C16" s="12"/>
    </row>
    <row r="17" spans="1:3" ht="24" customHeight="1">
      <c r="A17" s="12" t="s">
        <v>72</v>
      </c>
      <c r="B17" s="13" t="s">
        <v>506</v>
      </c>
      <c r="C17" s="12"/>
    </row>
    <row r="18" spans="1:3" ht="24" customHeight="1">
      <c r="A18" s="12" t="s">
        <v>72</v>
      </c>
      <c r="B18" s="13" t="s">
        <v>507</v>
      </c>
      <c r="C18" s="12"/>
    </row>
    <row r="19" spans="1:3" ht="24" customHeight="1">
      <c r="A19" s="12" t="s">
        <v>863</v>
      </c>
      <c r="B19" s="13" t="s">
        <v>799</v>
      </c>
      <c r="C19" s="12"/>
    </row>
    <row r="20" spans="1:3" ht="24" customHeight="1">
      <c r="A20" s="12" t="s">
        <v>71</v>
      </c>
      <c r="B20" s="13" t="s">
        <v>508</v>
      </c>
      <c r="C20" s="12"/>
    </row>
    <row r="21" spans="1:3" ht="24" customHeight="1">
      <c r="A21" s="12" t="s">
        <v>71</v>
      </c>
      <c r="B21" s="13" t="s">
        <v>824</v>
      </c>
      <c r="C21" s="12"/>
    </row>
    <row r="22" spans="1:3" ht="24" customHeight="1">
      <c r="A22" s="12" t="s">
        <v>71</v>
      </c>
      <c r="B22" s="13" t="s">
        <v>509</v>
      </c>
      <c r="C22" s="12"/>
    </row>
    <row r="23" spans="1:3" ht="24" customHeight="1">
      <c r="A23" s="12" t="s">
        <v>71</v>
      </c>
      <c r="B23" s="13" t="s">
        <v>385</v>
      </c>
      <c r="C23" s="12"/>
    </row>
    <row r="24" spans="1:3" ht="24" customHeight="1">
      <c r="A24" s="12" t="s">
        <v>141</v>
      </c>
      <c r="B24" s="13" t="s">
        <v>746</v>
      </c>
      <c r="C24" s="12"/>
    </row>
    <row r="25" spans="1:3" ht="24" customHeight="1">
      <c r="A25" s="12" t="s">
        <v>141</v>
      </c>
      <c r="B25" s="13" t="s">
        <v>673</v>
      </c>
      <c r="C25" s="12"/>
    </row>
    <row r="26" spans="1:3" ht="24" customHeight="1">
      <c r="A26" s="12" t="s">
        <v>70</v>
      </c>
      <c r="B26" s="13" t="s">
        <v>510</v>
      </c>
      <c r="C26" s="12"/>
    </row>
    <row r="27" spans="1:3" ht="24" customHeight="1">
      <c r="A27" s="12" t="s">
        <v>69</v>
      </c>
      <c r="B27" s="13" t="s">
        <v>511</v>
      </c>
      <c r="C27" s="12"/>
    </row>
    <row r="28" spans="1:3" ht="24" customHeight="1">
      <c r="A28" s="12" t="s">
        <v>864</v>
      </c>
      <c r="B28" s="13" t="s">
        <v>512</v>
      </c>
      <c r="C28" s="12"/>
    </row>
    <row r="29" spans="1:3" ht="24" customHeight="1">
      <c r="A29" s="12" t="s">
        <v>68</v>
      </c>
      <c r="B29" s="13" t="s">
        <v>513</v>
      </c>
      <c r="C29" s="12"/>
    </row>
    <row r="30" spans="1:3" ht="24" customHeight="1">
      <c r="A30" s="12" t="s">
        <v>68</v>
      </c>
      <c r="B30" s="13" t="s">
        <v>514</v>
      </c>
      <c r="C30" s="12"/>
    </row>
    <row r="31" spans="1:3" ht="24" customHeight="1">
      <c r="A31" s="12" t="s">
        <v>186</v>
      </c>
      <c r="B31" s="231" t="s">
        <v>588</v>
      </c>
      <c r="C31" s="12"/>
    </row>
    <row r="32" spans="1:3" ht="24" customHeight="1">
      <c r="A32" s="12" t="s">
        <v>186</v>
      </c>
      <c r="B32" s="231" t="s">
        <v>674</v>
      </c>
      <c r="C32" s="12"/>
    </row>
    <row r="33" spans="1:3" ht="24" customHeight="1">
      <c r="A33" s="12" t="s">
        <v>67</v>
      </c>
      <c r="B33" s="13" t="s">
        <v>512</v>
      </c>
      <c r="C33" s="12"/>
    </row>
    <row r="34" spans="1:3" ht="24" customHeight="1">
      <c r="A34" s="12" t="s">
        <v>186</v>
      </c>
      <c r="B34" s="231" t="s">
        <v>777</v>
      </c>
      <c r="C34" s="12"/>
    </row>
    <row r="35" spans="1:3" ht="24" customHeight="1">
      <c r="A35" s="12" t="s">
        <v>66</v>
      </c>
      <c r="B35" s="13" t="s">
        <v>184</v>
      </c>
      <c r="C35" s="12"/>
    </row>
    <row r="36" spans="1:3" ht="24" customHeight="1">
      <c r="A36" s="12" t="s">
        <v>6</v>
      </c>
      <c r="B36" s="13" t="s">
        <v>515</v>
      </c>
      <c r="C36" s="12"/>
    </row>
    <row r="37" spans="1:3" ht="24" customHeight="1">
      <c r="A37" s="12" t="s">
        <v>65</v>
      </c>
      <c r="B37" s="13" t="s">
        <v>516</v>
      </c>
      <c r="C37" s="12"/>
    </row>
    <row r="38" spans="1:3" ht="24" customHeight="1">
      <c r="A38" s="12" t="s">
        <v>64</v>
      </c>
      <c r="B38" s="13" t="s">
        <v>517</v>
      </c>
      <c r="C38" s="12"/>
    </row>
    <row r="39" spans="1:3" ht="21" customHeight="1">
      <c r="A39" s="12" t="s">
        <v>575</v>
      </c>
      <c r="B39" s="13" t="s">
        <v>848</v>
      </c>
      <c r="C39" s="12"/>
    </row>
  </sheetData>
  <mergeCells count="1">
    <mergeCell ref="A1:C1"/>
  </mergeCells>
  <phoneticPr fontId="2" type="noConversion"/>
  <printOptions horizontalCentered="1"/>
  <pageMargins left="0.31496062992125984" right="0.27559055118110237" top="0.74803149606299213" bottom="0.74803149606299213" header="0.31496062992125984" footer="0.31496062992125984"/>
  <pageSetup paperSize="9" scale="110" orientation="portrait" r:id="rId1"/>
  <rowBreaks count="1" manualBreakCount="1">
    <brk id="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7</vt:i4>
      </vt:variant>
    </vt:vector>
  </HeadingPairs>
  <TitlesOfParts>
    <vt:vector size="14" baseType="lpstr">
      <vt:lpstr>點交時間表</vt:lpstr>
      <vt:lpstr>113</vt:lpstr>
      <vt:lpstr>商戶樓層明細</vt:lpstr>
      <vt:lpstr>商戶緊急聯絡電話</vt:lpstr>
      <vt:lpstr>產業人數表</vt:lpstr>
      <vt:lpstr>商戶戶MAIL</vt:lpstr>
      <vt:lpstr>簽收表</vt:lpstr>
      <vt:lpstr>'113'!Print_Area</vt:lpstr>
      <vt:lpstr>商戶緊急聯絡電話!Print_Area</vt:lpstr>
      <vt:lpstr>產業人數表!Print_Area</vt:lpstr>
      <vt:lpstr>點交時間表!Print_Area</vt:lpstr>
      <vt:lpstr>簽收表!Print_Area</vt:lpstr>
      <vt:lpstr>商戶緊急聯絡電話!Print_Titles</vt:lpstr>
      <vt:lpstr>簽收表!Print_Titles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2025-12-05T08:41:32Z</cp:lastPrinted>
  <dcterms:created xsi:type="dcterms:W3CDTF">2018-04-19T01:19:32Z</dcterms:created>
  <dcterms:modified xsi:type="dcterms:W3CDTF">2026-01-08T09:08:46Z</dcterms:modified>
</cp:coreProperties>
</file>